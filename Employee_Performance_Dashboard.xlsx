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Employee_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<sst xmlns="http://schemas.openxmlformats.org/spreadsheetml/2006/main" count="675" uniqueCount="179">
  <si>
    <t xml:space="preserve">EMPLOYEE PERFORMANCE DASHBOARD</t>
  </si>
  <si>
    <t xml:space="preserve">TOTAL EMPLOYEES</t>
  </si>
  <si>
    <t xml:space="preserve">AVG ATTENDANCE</t>
  </si>
  <si>
    <t xml:space="preserve">AVG RATING</t>
  </si>
  <si>
    <t xml:space="preserve">SALES ACHIEVEMENT</t>
  </si>
  <si>
    <t xml:space="preserve">AVG OVERTIME (HRS)</t>
  </si>
  <si>
    <t xml:space="preserve">Top 10 Performers (by Rating)</t>
  </si>
  <si>
    <t xml:space="preserve">Name</t>
  </si>
  <si>
    <t xml:space="preserve">Dept.</t>
  </si>
  <si>
    <t xml:space="preserve">Rating</t>
  </si>
  <si>
    <t xml:space="preserve">Sales Achieved</t>
  </si>
  <si>
    <t xml:space="preserve">Employee ID</t>
  </si>
  <si>
    <t xml:space="preserve">Employee Name</t>
  </si>
  <si>
    <t xml:space="preserve">Gender</t>
  </si>
  <si>
    <t xml:space="preserve">Department</t>
  </si>
  <si>
    <t xml:space="preserve">Designation</t>
  </si>
  <si>
    <t xml:space="preserve">Manager</t>
  </si>
  <si>
    <t xml:space="preserve">Joining Date</t>
  </si>
  <si>
    <t xml:space="preserve">Attendance %</t>
  </si>
  <si>
    <t xml:space="preserve">Working Days</t>
  </si>
  <si>
    <t xml:space="preserve">Leave Days</t>
  </si>
  <si>
    <t xml:space="preserve">Tasks Assigned</t>
  </si>
  <si>
    <t xml:space="preserve">Tasks Completed</t>
  </si>
  <si>
    <t xml:space="preserve">Sales Target</t>
  </si>
  <si>
    <t xml:space="preserve">Overtime</t>
  </si>
  <si>
    <t xml:space="preserve">E001</t>
  </si>
  <si>
    <t xml:space="preserve">Anu</t>
  </si>
  <si>
    <t xml:space="preserve">Female</t>
  </si>
  <si>
    <t xml:space="preserve">HR</t>
  </si>
  <si>
    <t xml:space="preserve">Analyst</t>
  </si>
  <si>
    <t xml:space="preserve">Raj</t>
  </si>
  <si>
    <t xml:space="preserve">E002</t>
  </si>
  <si>
    <t xml:space="preserve">Vijay</t>
  </si>
  <si>
    <t xml:space="preserve">Marketing</t>
  </si>
  <si>
    <t xml:space="preserve">Senior Analyst</t>
  </si>
  <si>
    <t xml:space="preserve">Anitha</t>
  </si>
  <si>
    <t xml:space="preserve">E003</t>
  </si>
  <si>
    <t xml:space="preserve">Deepa</t>
  </si>
  <si>
    <t xml:space="preserve">Team Lead</t>
  </si>
  <si>
    <t xml:space="preserve">E004</t>
  </si>
  <si>
    <t xml:space="preserve">Manoj</t>
  </si>
  <si>
    <t xml:space="preserve">Finance</t>
  </si>
  <si>
    <t xml:space="preserve">Kumar</t>
  </si>
  <si>
    <t xml:space="preserve">E005</t>
  </si>
  <si>
    <t xml:space="preserve">Meena</t>
  </si>
  <si>
    <t xml:space="preserve">E006</t>
  </si>
  <si>
    <t xml:space="preserve">Sanjay</t>
  </si>
  <si>
    <t xml:space="preserve">IT</t>
  </si>
  <si>
    <t xml:space="preserve">Priya</t>
  </si>
  <si>
    <t xml:space="preserve">E007</t>
  </si>
  <si>
    <t xml:space="preserve">Sales</t>
  </si>
  <si>
    <t xml:space="preserve">E008</t>
  </si>
  <si>
    <t xml:space="preserve">Keerthi</t>
  </si>
  <si>
    <t xml:space="preserve">Executive</t>
  </si>
  <si>
    <t xml:space="preserve">E009</t>
  </si>
  <si>
    <t xml:space="preserve">Surya</t>
  </si>
  <si>
    <t xml:space="preserve">Male</t>
  </si>
  <si>
    <t xml:space="preserve">E010</t>
  </si>
  <si>
    <t xml:space="preserve">E011</t>
  </si>
  <si>
    <t xml:space="preserve">Lavanya</t>
  </si>
  <si>
    <t xml:space="preserve">E012</t>
  </si>
  <si>
    <t xml:space="preserve">E013</t>
  </si>
  <si>
    <t xml:space="preserve">Ajith</t>
  </si>
  <si>
    <t xml:space="preserve">E014</t>
  </si>
  <si>
    <t xml:space="preserve">Arun</t>
  </si>
  <si>
    <t xml:space="preserve">E015</t>
  </si>
  <si>
    <t xml:space="preserve">E016</t>
  </si>
  <si>
    <t xml:space="preserve">E017</t>
  </si>
  <si>
    <t xml:space="preserve">E018</t>
  </si>
  <si>
    <t xml:space="preserve">E019</t>
  </si>
  <si>
    <t xml:space="preserve">Sneha</t>
  </si>
  <si>
    <t xml:space="preserve">E020</t>
  </si>
  <si>
    <t xml:space="preserve">Rohit</t>
  </si>
  <si>
    <t xml:space="preserve">E021</t>
  </si>
  <si>
    <t xml:space="preserve">Divya</t>
  </si>
  <si>
    <t xml:space="preserve">E022</t>
  </si>
  <si>
    <t xml:space="preserve">E023</t>
  </si>
  <si>
    <t xml:space="preserve">Rahul</t>
  </si>
  <si>
    <t xml:space="preserve">E024</t>
  </si>
  <si>
    <t xml:space="preserve">Asha</t>
  </si>
  <si>
    <t xml:space="preserve">David</t>
  </si>
  <si>
    <t xml:space="preserve">E025</t>
  </si>
  <si>
    <t xml:space="preserve">Kavin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</si>
  <si>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</si>
  <si>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</si>
  <si>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</si>
  <si>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</si>
  <si>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</si>
  <si>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E031</t>
  </si>
  <si>
    <t xml:space="preserve">E032</t>
  </si>
  <si>
    <t xml:space="preserve">E033</t>
  </si>
  <si>
    <t xml:space="preserve">E034</t>
  </si>
  <si>
    <t xml:space="preserve">Nisha</t>
  </si>
  <si>
    <t xml:space="preserve">E035</t>
  </si>
  <si>
    <t xml:space="preserve">E036</t>
  </si>
  <si>
    <t xml:space="preserve">E037</t>
  </si>
  <si>
    <t xml:space="preserve">E038</t>
  </si>
  <si>
    <t xml:space="preserve">E039</t>
  </si>
  <si>
    <t xml:space="preserve">E040</t>
  </si>
  <si>
    <t xml:space="preserve">E041</t>
  </si>
  <si>
    <t xml:space="preserve">E042</t>
  </si>
  <si>
    <t xml:space="preserve">E043</t>
  </si>
  <si>
    <t xml:space="preserve">E044</t>
  </si>
  <si>
    <t xml:space="preserve">E045</t>
  </si>
  <si>
    <t xml:space="preserve">E046</t>
  </si>
  <si>
    <t xml:space="preserve">E047</t>
  </si>
  <si>
    <t xml:space="preserve">Karthik</t>
  </si>
  <si>
    <t xml:space="preserve">E048</t>
  </si>
  <si>
    <t xml:space="preserve">E049</t>
  </si>
  <si>
    <t xml:space="preserve">E050</t>
  </si>
  <si>
    <t xml:space="preserve">E051</t>
  </si>
  <si>
    <t xml:space="preserve">E052</t>
  </si>
  <si>
    <t xml:space="preserve">E053</t>
  </si>
  <si>
    <t xml:space="preserve">E054</t>
  </si>
  <si>
    <t xml:space="preserve">E055</t>
  </si>
  <si>
    <t xml:space="preserve">E056</t>
  </si>
  <si>
    <t xml:space="preserve">E057</t>
  </si>
  <si>
    <t xml:space="preserve">E058</t>
  </si>
  <si>
    <t xml:space="preserve">E059</t>
  </si>
  <si>
    <t xml:space="preserve">E060</t>
  </si>
  <si>
    <t xml:space="preserve">E061</t>
  </si>
  <si>
    <t xml:space="preserve">E062</t>
  </si>
  <si>
    <t xml:space="preserve">E063</t>
  </si>
  <si>
    <t xml:space="preserve">E064</t>
  </si>
  <si>
    <t xml:space="preserve">E065</t>
  </si>
  <si>
    <t xml:space="preserve">E066</t>
  </si>
  <si>
    <t xml:space="preserve">E067</t>
  </si>
  <si>
    <t xml:space="preserve">E068</t>
  </si>
  <si>
    <t xml:space="preserve">E069</t>
  </si>
  <si>
    <t xml:space="preserve">E070</t>
  </si>
  <si>
    <t xml:space="preserve">E071</t>
  </si>
  <si>
    <t xml:space="preserve">E072</t>
  </si>
  <si>
    <t xml:space="preserve">E073</t>
  </si>
  <si>
    <t xml:space="preserve">E074</t>
  </si>
  <si>
    <t xml:space="preserve">E075</t>
  </si>
  <si>
    <t xml:space="preserve">E076</t>
  </si>
  <si>
    <t xml:space="preserve">E077</t>
  </si>
  <si>
    <t xml:space="preserve">E078</t>
  </si>
  <si>
    <t xml:space="preserve">E079</t>
  </si>
  <si>
    <t xml:space="preserve">E080</t>
  </si>
  <si>
    <t xml:space="preserve">E081</t>
  </si>
  <si>
    <t xml:space="preserve">E082</t>
  </si>
  <si>
    <t xml:space="preserve">E083</t>
  </si>
  <si>
    <t xml:space="preserve">E084</t>
  </si>
  <si>
    <t xml:space="preserve">E085</t>
  </si>
  <si>
    <t xml:space="preserve">E086</t>
  </si>
  <si>
    <t xml:space="preserve">E087</t>
  </si>
  <si>
    <t xml:space="preserve">E088</t>
  </si>
  <si>
    <t xml:space="preserve">E089</t>
  </si>
  <si>
    <t xml:space="preserve">E090</t>
  </si>
  <si>
    <t xml:space="preserve">E091</t>
  </si>
  <si>
    <t xml:space="preserve">E092</t>
  </si>
  <si>
    <t xml:space="preserve">E093</t>
  </si>
  <si>
    <t xml:space="preserve">E094</t>
  </si>
  <si>
    <t xml:space="preserve">E095</t>
  </si>
  <si>
    <t xml:space="preserve">E096</t>
  </si>
  <si>
    <t xml:space="preserve">E097</t>
  </si>
  <si>
    <t xml:space="preserve">E098</t>
  </si>
  <si>
    <t xml:space="preserve">E099</t>
  </si>
  <si>
    <t xml:space="preserve">E100</t>
  </si>
  <si>
    <t xml:space="preserve">Employee Performance Dashboard — Summary Data</t>
  </si>
  <si>
    <t xml:space="preserve">Helper: SortKey</t>
  </si>
  <si>
    <t xml:space="preserve">Helper: RowIdx</t>
  </si>
  <si>
    <t xml:space="preserve">Department Summary</t>
  </si>
  <si>
    <t xml:space="preserve">Headcount</t>
  </si>
  <si>
    <t xml:space="preserve">Avg Attendance %</t>
  </si>
  <si>
    <t xml:space="preserve">Avg Rating</t>
  </si>
  <si>
    <t xml:space="preserve">Total Sales Target</t>
  </si>
  <si>
    <t xml:space="preserve">Total Sales Achieved</t>
  </si>
  <si>
    <t xml:space="preserve">Achievement %</t>
  </si>
  <si>
    <t xml:space="preserve">Total Tasks Assigned</t>
  </si>
  <si>
    <t xml:space="preserve">Total Tasks Completed</t>
  </si>
  <si>
    <t xml:space="preserve">Completion %</t>
  </si>
  <si>
    <t xml:space="preserve">Avg Overtime (hrs)</t>
  </si>
  <si>
    <t xml:space="preserve">TOTAL / OVERALL</t>
  </si>
  <si>
    <t xml:space="preserve">Gender Summary</t>
  </si>
  <si>
    <t xml:space="preserve">Avg Sales Achieved</t>
  </si>
  <si>
    <t xml:space="preserve">Designation Summary</t>
  </si>
  <si>
    <t xml:space="preserve">Rank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</si>
</sst>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%"/>
    <numFmt numFmtId="167" formatCode="0.00"/>
    <numFmt numFmtId="168" formatCode="0.0"/>
    <numFmt numFmtId="169" formatCode="#,##0"/>
    <numFmt numFmtId="170" formatCode="0%"/>
    <numFmt numFmtId="171" formatCode="yyyy\-mm\-dd"/>
    <numFmt numFmtId="172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i val="true"/>
      <sz val="8"/>
      <color rgb="FFA6A6A6"/>
      <name val="Arial"/>
      <family val="0"/>
      <charset val="1"/>
    </font>
    <font>
      <sz val="8"/>
      <color rgb="FFD9D9D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4472C4"/>
        <bgColor rgb="FF4A7EB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 diagonalUp="false" diagonalDown="false"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4A7EBB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Target vs Achieved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Total Sales Target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Marketing</c:v>
                </c:pt>
                <c:pt idx="3">
                  <c:v>Sales</c:v>
                </c:pt>
                <c:pt idx="4">
                  <c:v>IT</c:v>
                </c:pt>
              </c:strCache>
            </c:strRef>
          </c:cat>
          <c:val>
            <c:numRef>
              <c:f>Summary!$E$5:$E$9</c:f>
              <c:numCache>
                <c:formatCode>#,##0</c:formatCode>
                <c:ptCount val="5"/>
                <c:pt idx="0">
                  <c:v>12901840</c:v>
                </c:pt>
                <c:pt idx="1">
                  <c:v>11208100</c:v>
                </c:pt>
                <c:pt idx="2">
                  <c:v>11409711</c:v>
                </c:pt>
                <c:pt idx="3">
                  <c:v>10281919</c:v>
                </c:pt>
                <c:pt idx="4">
                  <c:v>7720035</c:v>
                </c:pt>
              </c:numCache>
            </c:numRef>
          </c:val>
        </c:ser>
        <c:ser>
          <c:idx val="1"/>
          <c:order val="1"/>
          <c:tx>
            <c:strRef>
              <c:f>Summary!F4</c:f>
              <c:strCache>
                <c:ptCount val="1"/>
                <c:pt idx="0">
                  <c:v>Total Sales Achieved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Marketing</c:v>
                </c:pt>
                <c:pt idx="3">
                  <c:v>Sales</c:v>
                </c:pt>
                <c:pt idx="4">
                  <c:v>IT</c:v>
                </c:pt>
              </c:strCache>
            </c:strRef>
          </c:cat>
          <c:val>
            <c:numRef>
              <c:f>Summary!$F$5:$F$9</c:f>
              <c:numCache>
                <c:formatCode>#,##0</c:formatCode>
                <c:ptCount val="5"/>
                <c:pt idx="0">
                  <c:v>12539903</c:v>
                </c:pt>
                <c:pt idx="1">
                  <c:v>11241743</c:v>
                </c:pt>
                <c:pt idx="2">
                  <c:v>10906653</c:v>
                </c:pt>
                <c:pt idx="3">
                  <c:v>9890150</c:v>
                </c:pt>
                <c:pt idx="4">
                  <c:v>7209916</c:v>
                </c:pt>
              </c:numCache>
            </c:numRef>
          </c:val>
        </c:ser>
        <c:gapWidth val="150"/>
        <c:overlap val="0"/>
        <c:axId val="84936949"/>
        <c:axId val="2015089"/>
      </c:barChart>
      <c:catAx>
        <c:axId val="849369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5089"/>
        <c:crosses val="autoZero"/>
        <c:auto val="1"/>
        <c:lblAlgn val="ctr"/>
        <c:lblOffset val="100"/>
        <c:noMultiLvlLbl val="0"/>
      </c:catAx>
      <c:valAx>
        <c:axId val="20150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369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Marketing</c:v>
                </c:pt>
                <c:pt idx="3">
                  <c:v>Sales</c:v>
                </c:pt>
                <c:pt idx="4">
                  <c:v>IT</c:v>
                </c:pt>
              </c:strCache>
            </c:strRef>
          </c:cat>
          <c:val>
            <c:numRef>
              <c:f>Summary!$B$5:$B$9</c:f>
              <c:numCache>
                <c:formatCode>General</c:formatCode>
                <c:ptCount val="5"/>
                <c:pt idx="0">
                  <c:v>23</c:v>
                </c:pt>
                <c:pt idx="1">
                  <c:v>22</c:v>
                </c:pt>
                <c:pt idx="2">
                  <c:v>21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</c:ser>
        <c:gapWidth val="150"/>
        <c:overlap val="0"/>
        <c:axId val="30941143"/>
        <c:axId val="38520073"/>
      </c:barChart>
      <c:catAx>
        <c:axId val="30941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20073"/>
        <c:crosses val="autoZero"/>
        <c:auto val="1"/>
        <c:lblAlgn val="ctr"/>
        <c:lblOffset val="100"/>
        <c:noMultiLvlLbl val="0"/>
      </c:catAx>
      <c:valAx>
        <c:axId val="38520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941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Summary!B13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Summary!$A$14:$A$15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Summary!$B$14:$B$15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Rating by Designation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Summary!C18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Summary!$A$19:$A$23</c:f>
              <c:strCache>
                <c:ptCount val="5"/>
                <c:pt idx="0">
                  <c:v>Team Lead</c:v>
                </c:pt>
                <c:pt idx="1">
                  <c:v>Analyst</c:v>
                </c:pt>
                <c:pt idx="2">
                  <c:v>Senior Analyst</c:v>
                </c:pt>
                <c:pt idx="3">
                  <c:v>Manager</c:v>
                </c:pt>
                <c:pt idx="4">
                  <c:v>Executive</c:v>
                </c:pt>
              </c:strCache>
            </c:strRef>
          </c:cat>
          <c:val>
            <c:numRef>
              <c:f>Summary!$C$19:$C$23</c:f>
              <c:numCache>
                <c:formatCode>0.00</c:formatCode>
                <c:ptCount val="5"/>
                <c:pt idx="0">
                  <c:v>4.16551724137931</c:v>
                </c:pt>
                <c:pt idx="1">
                  <c:v>4.06086956521739</c:v>
                </c:pt>
                <c:pt idx="2">
                  <c:v>3.95238095238095</c:v>
                </c:pt>
                <c:pt idx="3">
                  <c:v>4.05789473684211</c:v>
                </c:pt>
                <c:pt idx="4">
                  <c:v>4.175</c:v>
                </c:pt>
              </c:numCache>
            </c:numRef>
          </c:val>
        </c:ser>
        <c:gapWidth val="150"/>
        <c:overlap val="0"/>
        <c:axId val="28062442"/>
        <c:axId val="83699614"/>
      </c:barChart>
      <c:catAx>
        <c:axId val="28062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99614"/>
        <c:crosses val="autoZero"/>
        <c:auto val="1"/>
        <c:lblAlgn val="ctr"/>
        <c:lblOffset val="100"/>
        <c:noMultiLvlLbl val="0"/>
      </c:catAx>
      <c:valAx>
        <c:axId val="83699614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24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Completion %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Summary!J4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Summary!$A$5:$A$9</c:f>
              <c:strCache>
                <c:ptCount val="5"/>
                <c:pt idx="0">
                  <c:v>HR</c:v>
                </c:pt>
                <c:pt idx="1">
                  <c:v>Finance</c:v>
                </c:pt>
                <c:pt idx="2">
                  <c:v>Marketing</c:v>
                </c:pt>
                <c:pt idx="3">
                  <c:v>Sales</c:v>
                </c:pt>
                <c:pt idx="4">
                  <c:v>IT</c:v>
                </c:pt>
              </c:strCache>
            </c:strRef>
          </c:cat>
          <c:val>
            <c:numRef>
              <c:f>Summary!$J$5:$J$9</c:f>
              <c:numCache>
                <c:formatCode>0.0%</c:formatCode>
                <c:ptCount val="5"/>
                <c:pt idx="0">
                  <c:v>0.790626069107082</c:v>
                </c:pt>
                <c:pt idx="1">
                  <c:v>0.877706495589415</c:v>
                </c:pt>
                <c:pt idx="2">
                  <c:v>0.785664089950808</c:v>
                </c:pt>
                <c:pt idx="3">
                  <c:v>0.826446280991736</c:v>
                </c:pt>
                <c:pt idx="4">
                  <c:v>0.755503512880562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9262088"/>
        <c:axId val="25314846"/>
      </c:lineChart>
      <c:catAx>
        <c:axId val="99262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314846"/>
        <c:crosses val="autoZero"/>
        <c:auto val="1"/>
        <c:lblAlgn val="ctr"/>
        <c:lblOffset val="100"/>
        <c:noMultiLvlLbl val="0"/>
      </c:catAx>
      <c:valAx>
        <c:axId val="25314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620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6</xdr:col>
      <xdr:colOff>120600</xdr:colOff>
      <xdr:row>26</xdr:row>
      <xdr:rowOff>11880</xdr:rowOff>
    </xdr:to>
    <xdr:graphicFrame>
      <xdr:nvGraphicFramePr>
        <xdr:cNvPr id="0" name="Chart 1"/>
        <xdr:cNvGraphicFramePr/>
      </xdr:nvGraphicFramePr>
      <xdr:xfrm>
        <a:off x="211320" y="23432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13</xdr:col>
      <xdr:colOff>425520</xdr:colOff>
      <xdr:row>26</xdr:row>
      <xdr:rowOff>11880</xdr:rowOff>
    </xdr:to>
    <xdr:graphicFrame>
      <xdr:nvGraphicFramePr>
        <xdr:cNvPr id="1" name="Chart 2"/>
        <xdr:cNvGraphicFramePr/>
      </xdr:nvGraphicFramePr>
      <xdr:xfrm>
        <a:off x="6977880" y="23432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120600</xdr:colOff>
      <xdr:row>43</xdr:row>
      <xdr:rowOff>11880</xdr:rowOff>
    </xdr:to>
    <xdr:graphicFrame>
      <xdr:nvGraphicFramePr>
        <xdr:cNvPr id="2" name="Chart 3"/>
        <xdr:cNvGraphicFramePr/>
      </xdr:nvGraphicFramePr>
      <xdr:xfrm>
        <a:off x="211320" y="55818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13</xdr:col>
      <xdr:colOff>425520</xdr:colOff>
      <xdr:row>43</xdr:row>
      <xdr:rowOff>11880</xdr:rowOff>
    </xdr:to>
    <xdr:graphicFrame>
      <xdr:nvGraphicFramePr>
        <xdr:cNvPr id="3" name="Chart 4"/>
        <xdr:cNvGraphicFramePr/>
      </xdr:nvGraphicFramePr>
      <xdr:xfrm>
        <a:off x="6977880" y="55818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120600</xdr:colOff>
      <xdr:row>59</xdr:row>
      <xdr:rowOff>144720</xdr:rowOff>
    </xdr:to>
    <xdr:graphicFrame>
      <xdr:nvGraphicFramePr>
        <xdr:cNvPr id="4" name="Chart 5"/>
        <xdr:cNvGraphicFramePr/>
      </xdr:nvGraphicFramePr>
      <xdr:xfrm>
        <a:off x="211320" y="8820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L5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1" min="2" style="0" width="16"/>
    <col collapsed="false" customWidth="true" hidden="false" outlineLevel="0" max="12" min="12" style="0" width="3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8" hidden="false" customHeight="true" outlineLevel="0" collapsed="false">
      <c r="B4" s="2" t="str">
        <f aca="true">CONCATENATE("Workforce of ",Summary!B10," employees across ",5," departments  |  Data as of ",TEXT(TODAY(),"dd-mmm-yyyy"))</f>
        <v>Workforce of 100 employees across 5 departments  |  Data as of 14-Jul-2026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5.75" hidden="false" customHeight="true" outlineLevel="0" collapsed="false">
      <c r="B6" s="3" t="s">
        <v>1</v>
      </c>
      <c r="C6" s="3"/>
      <c r="D6" s="3" t="s">
        <v>2</v>
      </c>
      <c r="E6" s="3"/>
      <c r="F6" s="3" t="s">
        <v>3</v>
      </c>
      <c r="G6" s="3"/>
      <c r="H6" s="3" t="s">
        <v>4</v>
      </c>
      <c r="I6" s="3"/>
      <c r="J6" s="3" t="s">
        <v>5</v>
      </c>
      <c r="K6" s="3"/>
    </row>
    <row r="7" customFormat="false" ht="21.75" hidden="false" customHeight="true" outlineLevel="0" collapsed="false">
      <c r="B7" s="4" t="n">
        <f aca="false">Summary!B10</f>
        <v>100</v>
      </c>
      <c r="C7" s="4"/>
      <c r="D7" s="5" t="n">
        <f aca="false">Summary!C10</f>
        <v>0.9085</v>
      </c>
      <c r="E7" s="5"/>
      <c r="F7" s="6" t="n">
        <f aca="false">Summary!D10</f>
        <v>4.077</v>
      </c>
      <c r="G7" s="6"/>
      <c r="H7" s="5" t="n">
        <f aca="false">Summary!G10</f>
        <v>0.967616068314842</v>
      </c>
      <c r="I7" s="5"/>
      <c r="J7" s="7" t="n">
        <f aca="false">Summary!K10</f>
        <v>9.25</v>
      </c>
      <c r="K7" s="7"/>
    </row>
    <row r="8" customFormat="false" ht="21.75" hidden="false" customHeight="true" outlineLevel="0" collapsed="false">
      <c r="B8" s="4"/>
      <c r="C8" s="4"/>
      <c r="D8" s="5"/>
      <c r="E8" s="5"/>
      <c r="F8" s="6"/>
      <c r="G8" s="6"/>
      <c r="H8" s="5"/>
      <c r="I8" s="5"/>
      <c r="J8" s="7"/>
      <c r="K8" s="7"/>
    </row>
    <row r="45" customFormat="false" ht="19.5" hidden="false" customHeight="true" outlineLevel="0" collapsed="false">
      <c r="H45" s="8" t="s">
        <v>6</v>
      </c>
      <c r="I45" s="8"/>
      <c r="J45" s="8"/>
      <c r="K45" s="8"/>
    </row>
    <row r="46" customFormat="false" ht="15" hidden="false" customHeight="false" outlineLevel="0" collapsed="false">
      <c r="H46" s="9" t="s">
        <v>7</v>
      </c>
      <c r="I46" s="9" t="s">
        <v>8</v>
      </c>
      <c r="J46" s="9" t="s">
        <v>9</v>
      </c>
      <c r="K46" s="9" t="s">
        <v>10</v>
      </c>
    </row>
    <row r="47" customFormat="false" ht="15" hidden="false" customHeight="false" outlineLevel="0" collapsed="false">
      <c r="H47" s="10" t="str">
        <f aca="false">Summary!B27</f>
        <v>Karthik</v>
      </c>
      <c r="I47" s="10" t="str">
        <f aca="false">Summary!C27</f>
        <v>Finance</v>
      </c>
      <c r="J47" s="11" t="n">
        <f aca="false">Summary!E27</f>
        <v>5</v>
      </c>
      <c r="K47" s="12" t="n">
        <f aca="false">Summary!F27</f>
        <v>966305</v>
      </c>
    </row>
    <row r="48" customFormat="false" ht="15" hidden="false" customHeight="false" outlineLevel="0" collapsed="false">
      <c r="H48" s="13" t="str">
        <f aca="false">Summary!B28</f>
        <v>Lavanya</v>
      </c>
      <c r="I48" s="13" t="str">
        <f aca="false">Summary!C28</f>
        <v>IT</v>
      </c>
      <c r="J48" s="14" t="n">
        <f aca="false">Summary!E28</f>
        <v>5</v>
      </c>
      <c r="K48" s="15" t="n">
        <f aca="false">Summary!F28</f>
        <v>502542</v>
      </c>
    </row>
    <row r="49" customFormat="false" ht="15" hidden="false" customHeight="false" outlineLevel="0" collapsed="false">
      <c r="H49" s="10" t="str">
        <f aca="false">Summary!B29</f>
        <v>Sneha</v>
      </c>
      <c r="I49" s="10" t="str">
        <f aca="false">Summary!C29</f>
        <v>HR</v>
      </c>
      <c r="J49" s="11" t="n">
        <f aca="false">Summary!E29</f>
        <v>5</v>
      </c>
      <c r="K49" s="12" t="n">
        <f aca="false">Summary!F29</f>
        <v>454685</v>
      </c>
    </row>
    <row r="50" customFormat="false" ht="15" hidden="false" customHeight="false" outlineLevel="0" collapsed="false">
      <c r="H50" s="13" t="str">
        <f aca="false">Summary!B30</f>
        <v>Asha</v>
      </c>
      <c r="I50" s="13" t="str">
        <f aca="false">Summary!C30</f>
        <v>Marketing</v>
      </c>
      <c r="J50" s="14" t="n">
        <f aca="false">Summary!E30</f>
        <v>5</v>
      </c>
      <c r="K50" s="15" t="n">
        <f aca="false">Summary!F30</f>
        <v>682192</v>
      </c>
    </row>
    <row r="51" customFormat="false" ht="15" hidden="false" customHeight="false" outlineLevel="0" collapsed="false">
      <c r="H51" s="10" t="str">
        <f aca="false">Summary!B31</f>
        <v>Lavanya</v>
      </c>
      <c r="I51" s="10" t="str">
        <f aca="false">Summary!C31</f>
        <v>HR</v>
      </c>
      <c r="J51" s="11" t="n">
        <f aca="false">Summary!E31</f>
        <v>4.9</v>
      </c>
      <c r="K51" s="12" t="n">
        <f aca="false">Summary!F31</f>
        <v>863509</v>
      </c>
    </row>
    <row r="52" customFormat="false" ht="15" hidden="false" customHeight="false" outlineLevel="0" collapsed="false">
      <c r="H52" s="13" t="str">
        <f aca="false">Summary!B32</f>
        <v>Lavanya</v>
      </c>
      <c r="I52" s="13" t="str">
        <f aca="false">Summary!C32</f>
        <v>Finance</v>
      </c>
      <c r="J52" s="14" t="n">
        <f aca="false">Summary!E32</f>
        <v>4.9</v>
      </c>
      <c r="K52" s="15" t="n">
        <f aca="false">Summary!F32</f>
        <v>915692</v>
      </c>
    </row>
    <row r="53" customFormat="false" ht="15" hidden="false" customHeight="false" outlineLevel="0" collapsed="false">
      <c r="H53" s="10" t="str">
        <f aca="false">Summary!B33</f>
        <v>Divya</v>
      </c>
      <c r="I53" s="10" t="str">
        <f aca="false">Summary!C33</f>
        <v>Marketing</v>
      </c>
      <c r="J53" s="11" t="n">
        <f aca="false">Summary!E33</f>
        <v>4.9</v>
      </c>
      <c r="K53" s="12" t="n">
        <f aca="false">Summary!F33</f>
        <v>451908</v>
      </c>
    </row>
    <row r="54" customFormat="false" ht="15" hidden="false" customHeight="false" outlineLevel="0" collapsed="false">
      <c r="H54" s="13" t="str">
        <f aca="false">Summary!B34</f>
        <v>Keerthi</v>
      </c>
      <c r="I54" s="13" t="str">
        <f aca="false">Summary!C34</f>
        <v>Finance</v>
      </c>
      <c r="J54" s="14" t="n">
        <f aca="false">Summary!E34</f>
        <v>4.9</v>
      </c>
      <c r="K54" s="15" t="n">
        <f aca="false">Summary!F34</f>
        <v>570218</v>
      </c>
    </row>
    <row r="55" customFormat="false" ht="15" hidden="false" customHeight="false" outlineLevel="0" collapsed="false">
      <c r="H55" s="10" t="str">
        <f aca="false">Summary!B35</f>
        <v>Sanjay</v>
      </c>
      <c r="I55" s="10" t="str">
        <f aca="false">Summary!C35</f>
        <v>Sales</v>
      </c>
      <c r="J55" s="11" t="n">
        <f aca="false">Summary!E35</f>
        <v>4.9</v>
      </c>
      <c r="K55" s="12" t="n">
        <f aca="false">Summary!F35</f>
        <v>956240</v>
      </c>
    </row>
    <row r="56" customFormat="false" ht="15" hidden="false" customHeight="false" outlineLevel="0" collapsed="false">
      <c r="H56" s="13" t="str">
        <f aca="false">Summary!B36</f>
        <v>Anu</v>
      </c>
      <c r="I56" s="13" t="str">
        <f aca="false">Summary!C36</f>
        <v>HR</v>
      </c>
      <c r="J56" s="14" t="n">
        <f aca="false">Summary!E36</f>
        <v>4.9</v>
      </c>
      <c r="K56" s="15" t="n">
        <f aca="false">Summary!F36</f>
        <v>629883</v>
      </c>
    </row>
  </sheetData>
  <mergeCells count="13">
    <mergeCell ref="B2:L3"/>
    <mergeCell ref="B4:L4"/>
    <mergeCell ref="B6:C6"/>
    <mergeCell ref="D6:E6"/>
    <mergeCell ref="F6:G6"/>
    <mergeCell ref="H6:I6"/>
    <mergeCell ref="J6:K6"/>
    <mergeCell ref="B7:C8"/>
    <mergeCell ref="D7:E8"/>
    <mergeCell ref="F7:G8"/>
    <mergeCell ref="H7:I8"/>
    <mergeCell ref="J7:K8"/>
    <mergeCell ref="H45:K4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P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10</v>
      </c>
      <c r="O1" s="0" t="s">
        <v>9</v>
      </c>
      <c r="P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16" t="n">
        <v>44573</v>
      </c>
      <c r="H2" s="0" t="n">
        <v>86</v>
      </c>
      <c r="I2" s="0" t="n">
        <v>22</v>
      </c>
      <c r="J2" s="0" t="n">
        <v>3</v>
      </c>
      <c r="K2" s="0" t="n">
        <v>111</v>
      </c>
      <c r="L2" s="0" t="n">
        <v>76</v>
      </c>
      <c r="M2" s="0" t="n">
        <v>538186</v>
      </c>
      <c r="N2" s="0" t="n">
        <v>629883</v>
      </c>
      <c r="O2" s="0" t="n">
        <v>4.9</v>
      </c>
      <c r="P2" s="0" t="n">
        <v>8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27</v>
      </c>
      <c r="D3" s="0" t="s">
        <v>33</v>
      </c>
      <c r="E3" s="0" t="s">
        <v>34</v>
      </c>
      <c r="F3" s="0" t="s">
        <v>35</v>
      </c>
      <c r="G3" s="16" t="n">
        <v>44814</v>
      </c>
      <c r="H3" s="0" t="n">
        <v>91</v>
      </c>
      <c r="I3" s="0" t="n">
        <v>22</v>
      </c>
      <c r="J3" s="0" t="n">
        <v>1</v>
      </c>
      <c r="K3" s="0" t="n">
        <v>99</v>
      </c>
      <c r="L3" s="0" t="n">
        <v>86</v>
      </c>
      <c r="M3" s="0" t="n">
        <v>213332</v>
      </c>
      <c r="N3" s="0" t="n">
        <v>190623</v>
      </c>
      <c r="O3" s="0" t="n">
        <v>3.6</v>
      </c>
      <c r="P3" s="0" t="n">
        <v>6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27</v>
      </c>
      <c r="D4" s="0" t="s">
        <v>28</v>
      </c>
      <c r="E4" s="0" t="s">
        <v>38</v>
      </c>
      <c r="F4" s="0" t="s">
        <v>30</v>
      </c>
      <c r="G4" s="16" t="n">
        <v>45977</v>
      </c>
      <c r="H4" s="0" t="n">
        <v>99</v>
      </c>
      <c r="I4" s="0" t="n">
        <v>22</v>
      </c>
      <c r="J4" s="0" t="n">
        <v>4</v>
      </c>
      <c r="K4" s="0" t="n">
        <v>158</v>
      </c>
      <c r="L4" s="0" t="n">
        <v>106</v>
      </c>
      <c r="M4" s="0" t="n">
        <v>675341</v>
      </c>
      <c r="N4" s="0" t="n">
        <v>726005</v>
      </c>
      <c r="O4" s="0" t="n">
        <v>3.3</v>
      </c>
      <c r="P4" s="0" t="n">
        <v>3</v>
      </c>
    </row>
    <row r="5" customFormat="false" ht="15" hidden="false" customHeight="false" outlineLevel="0" collapsed="false">
      <c r="A5" s="0" t="s">
        <v>39</v>
      </c>
      <c r="B5" s="0" t="s">
        <v>40</v>
      </c>
      <c r="C5" s="0" t="s">
        <v>27</v>
      </c>
      <c r="D5" s="0" t="s">
        <v>41</v>
      </c>
      <c r="E5" s="0" t="s">
        <v>34</v>
      </c>
      <c r="F5" s="0" t="s">
        <v>42</v>
      </c>
      <c r="G5" s="16" t="n">
        <v>45614</v>
      </c>
      <c r="H5" s="0" t="n">
        <v>95</v>
      </c>
      <c r="I5" s="0" t="n">
        <v>22</v>
      </c>
      <c r="J5" s="0" t="n">
        <v>1</v>
      </c>
      <c r="K5" s="0" t="n">
        <v>178</v>
      </c>
      <c r="L5" s="0" t="n">
        <v>171</v>
      </c>
      <c r="M5" s="0" t="n">
        <v>139924</v>
      </c>
      <c r="N5" s="0" t="n">
        <v>103437</v>
      </c>
      <c r="O5" s="0" t="n">
        <v>3.8</v>
      </c>
      <c r="P5" s="0" t="n">
        <v>11</v>
      </c>
    </row>
    <row r="6" customFormat="false" ht="15" hidden="false" customHeight="false" outlineLevel="0" collapsed="false">
      <c r="A6" s="0" t="s">
        <v>43</v>
      </c>
      <c r="B6" s="0" t="s">
        <v>44</v>
      </c>
      <c r="C6" s="0" t="s">
        <v>27</v>
      </c>
      <c r="D6" s="0" t="s">
        <v>33</v>
      </c>
      <c r="E6" s="0" t="s">
        <v>29</v>
      </c>
      <c r="F6" s="0" t="s">
        <v>42</v>
      </c>
      <c r="G6" s="16" t="n">
        <v>44920</v>
      </c>
      <c r="H6" s="0" t="n">
        <v>89</v>
      </c>
      <c r="I6" s="0" t="n">
        <v>22</v>
      </c>
      <c r="J6" s="0" t="n">
        <v>3</v>
      </c>
      <c r="K6" s="0" t="n">
        <v>80</v>
      </c>
      <c r="L6" s="0" t="n">
        <v>68</v>
      </c>
      <c r="M6" s="0" t="n">
        <v>484244</v>
      </c>
      <c r="N6" s="0" t="n">
        <v>352867</v>
      </c>
      <c r="O6" s="0" t="n">
        <v>4.4</v>
      </c>
      <c r="P6" s="0" t="n">
        <v>3</v>
      </c>
    </row>
    <row r="7" customFormat="false" ht="15" hidden="false" customHeight="false" outlineLevel="0" collapsed="false">
      <c r="A7" s="0" t="s">
        <v>45</v>
      </c>
      <c r="B7" s="0" t="s">
        <v>46</v>
      </c>
      <c r="C7" s="0" t="s">
        <v>27</v>
      </c>
      <c r="D7" s="0" t="s">
        <v>47</v>
      </c>
      <c r="E7" s="0" t="s">
        <v>34</v>
      </c>
      <c r="F7" s="0" t="s">
        <v>48</v>
      </c>
      <c r="G7" s="16" t="n">
        <v>44650</v>
      </c>
      <c r="H7" s="0" t="n">
        <v>99</v>
      </c>
      <c r="I7" s="0" t="n">
        <v>22</v>
      </c>
      <c r="J7" s="0" t="n">
        <v>3</v>
      </c>
      <c r="K7" s="0" t="n">
        <v>188</v>
      </c>
      <c r="L7" s="0" t="n">
        <v>125</v>
      </c>
      <c r="M7" s="0" t="n">
        <v>894667</v>
      </c>
      <c r="N7" s="0" t="n">
        <v>849496</v>
      </c>
      <c r="O7" s="0" t="n">
        <v>3.3</v>
      </c>
      <c r="P7" s="0" t="n">
        <v>1</v>
      </c>
    </row>
    <row r="8" customFormat="false" ht="15" hidden="false" customHeight="false" outlineLevel="0" collapsed="false">
      <c r="A8" s="0" t="s">
        <v>49</v>
      </c>
      <c r="B8" s="0" t="s">
        <v>40</v>
      </c>
      <c r="C8" s="0" t="s">
        <v>27</v>
      </c>
      <c r="D8" s="0" t="s">
        <v>50</v>
      </c>
      <c r="E8" s="0" t="s">
        <v>34</v>
      </c>
      <c r="F8" s="0" t="s">
        <v>48</v>
      </c>
      <c r="G8" s="16" t="n">
        <v>45638</v>
      </c>
      <c r="H8" s="0" t="n">
        <v>81</v>
      </c>
      <c r="I8" s="0" t="n">
        <v>22</v>
      </c>
      <c r="J8" s="0" t="n">
        <v>4</v>
      </c>
      <c r="K8" s="0" t="n">
        <v>128</v>
      </c>
      <c r="L8" s="0" t="n">
        <v>112</v>
      </c>
      <c r="M8" s="0" t="n">
        <v>447755</v>
      </c>
      <c r="N8" s="0" t="n">
        <v>439703</v>
      </c>
      <c r="O8" s="0" t="n">
        <v>3.2</v>
      </c>
      <c r="P8" s="0" t="n">
        <v>9</v>
      </c>
    </row>
    <row r="9" customFormat="false" ht="15" hidden="false" customHeight="false" outlineLevel="0" collapsed="false">
      <c r="A9" s="0" t="s">
        <v>51</v>
      </c>
      <c r="B9" s="0" t="s">
        <v>52</v>
      </c>
      <c r="C9" s="0" t="s">
        <v>27</v>
      </c>
      <c r="D9" s="0" t="s">
        <v>47</v>
      </c>
      <c r="E9" s="0" t="s">
        <v>53</v>
      </c>
      <c r="F9" s="0" t="s">
        <v>42</v>
      </c>
      <c r="G9" s="16" t="n">
        <v>44853</v>
      </c>
      <c r="H9" s="0" t="n">
        <v>98</v>
      </c>
      <c r="I9" s="0" t="n">
        <v>22</v>
      </c>
      <c r="J9" s="0" t="n">
        <v>1</v>
      </c>
      <c r="K9" s="0" t="n">
        <v>168</v>
      </c>
      <c r="L9" s="0" t="n">
        <v>122</v>
      </c>
      <c r="M9" s="0" t="n">
        <v>511450</v>
      </c>
      <c r="N9" s="0" t="n">
        <v>562589</v>
      </c>
      <c r="O9" s="0" t="n">
        <v>4.1</v>
      </c>
      <c r="P9" s="0" t="n">
        <v>2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56</v>
      </c>
      <c r="D10" s="0" t="s">
        <v>47</v>
      </c>
      <c r="E10" s="0" t="s">
        <v>29</v>
      </c>
      <c r="F10" s="0" t="s">
        <v>35</v>
      </c>
      <c r="G10" s="16" t="n">
        <v>45586</v>
      </c>
      <c r="H10" s="0" t="n">
        <v>90</v>
      </c>
      <c r="I10" s="0" t="n">
        <v>22</v>
      </c>
      <c r="J10" s="0" t="n">
        <v>4</v>
      </c>
      <c r="K10" s="0" t="n">
        <v>69</v>
      </c>
      <c r="L10" s="0" t="n">
        <v>62</v>
      </c>
      <c r="M10" s="0" t="n">
        <v>218780</v>
      </c>
      <c r="N10" s="0" t="n">
        <v>180274</v>
      </c>
      <c r="O10" s="0" t="n">
        <v>3.7</v>
      </c>
      <c r="P10" s="0" t="n">
        <v>0</v>
      </c>
    </row>
    <row r="11" customFormat="false" ht="15" hidden="false" customHeight="false" outlineLevel="0" collapsed="false">
      <c r="A11" s="0" t="s">
        <v>57</v>
      </c>
      <c r="B11" s="0" t="s">
        <v>52</v>
      </c>
      <c r="C11" s="0" t="s">
        <v>56</v>
      </c>
      <c r="D11" s="0" t="s">
        <v>47</v>
      </c>
      <c r="E11" s="0" t="s">
        <v>16</v>
      </c>
      <c r="F11" s="0" t="s">
        <v>30</v>
      </c>
      <c r="G11" s="16" t="n">
        <v>44568</v>
      </c>
      <c r="H11" s="0" t="n">
        <v>83</v>
      </c>
      <c r="I11" s="0" t="n">
        <v>22</v>
      </c>
      <c r="J11" s="0" t="n">
        <v>3</v>
      </c>
      <c r="K11" s="0" t="n">
        <v>106</v>
      </c>
      <c r="L11" s="0" t="n">
        <v>73</v>
      </c>
      <c r="M11" s="0" t="n">
        <v>409996</v>
      </c>
      <c r="N11" s="0" t="n">
        <v>318106</v>
      </c>
      <c r="O11" s="0" t="n">
        <v>3.6</v>
      </c>
      <c r="P11" s="0" t="n">
        <v>2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0" t="s">
        <v>56</v>
      </c>
      <c r="D12" s="0" t="s">
        <v>47</v>
      </c>
      <c r="E12" s="0" t="s">
        <v>34</v>
      </c>
      <c r="F12" s="0" t="s">
        <v>35</v>
      </c>
      <c r="G12" s="16" t="n">
        <v>45257</v>
      </c>
      <c r="H12" s="0" t="n">
        <v>98</v>
      </c>
      <c r="I12" s="0" t="n">
        <v>22</v>
      </c>
      <c r="J12" s="0" t="n">
        <v>0</v>
      </c>
      <c r="K12" s="0" t="n">
        <v>128</v>
      </c>
      <c r="L12" s="0" t="n">
        <v>109</v>
      </c>
      <c r="M12" s="0" t="n">
        <v>253324</v>
      </c>
      <c r="N12" s="0" t="n">
        <v>249688</v>
      </c>
      <c r="O12" s="0" t="n">
        <v>4.1</v>
      </c>
      <c r="P12" s="0" t="n">
        <v>2</v>
      </c>
    </row>
    <row r="13" customFormat="false" ht="15" hidden="false" customHeight="false" outlineLevel="0" collapsed="false">
      <c r="A13" s="0" t="s">
        <v>60</v>
      </c>
      <c r="B13" s="0" t="s">
        <v>46</v>
      </c>
      <c r="C13" s="0" t="s">
        <v>56</v>
      </c>
      <c r="D13" s="0" t="s">
        <v>41</v>
      </c>
      <c r="E13" s="0" t="s">
        <v>16</v>
      </c>
      <c r="F13" s="0" t="s">
        <v>42</v>
      </c>
      <c r="G13" s="16" t="n">
        <v>45686</v>
      </c>
      <c r="H13" s="0" t="n">
        <v>91</v>
      </c>
      <c r="I13" s="0" t="n">
        <v>22</v>
      </c>
      <c r="J13" s="0" t="n">
        <v>1</v>
      </c>
      <c r="K13" s="0" t="n">
        <v>55</v>
      </c>
      <c r="L13" s="0" t="n">
        <v>47</v>
      </c>
      <c r="M13" s="0" t="n">
        <v>842705</v>
      </c>
      <c r="N13" s="0" t="n">
        <v>798035</v>
      </c>
      <c r="O13" s="0" t="n">
        <v>3.7</v>
      </c>
      <c r="P13" s="0" t="n">
        <v>8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27</v>
      </c>
      <c r="D14" s="0" t="s">
        <v>47</v>
      </c>
      <c r="E14" s="0" t="s">
        <v>53</v>
      </c>
      <c r="F14" s="0" t="s">
        <v>30</v>
      </c>
      <c r="G14" s="16" t="n">
        <v>44913</v>
      </c>
      <c r="H14" s="0" t="n">
        <v>88</v>
      </c>
      <c r="I14" s="0" t="n">
        <v>22</v>
      </c>
      <c r="J14" s="0" t="n">
        <v>4</v>
      </c>
      <c r="K14" s="0" t="n">
        <v>168</v>
      </c>
      <c r="L14" s="0" t="n">
        <v>145</v>
      </c>
      <c r="M14" s="0" t="n">
        <v>762576</v>
      </c>
      <c r="N14" s="0" t="n">
        <v>597236</v>
      </c>
      <c r="O14" s="0" t="n">
        <v>4.7</v>
      </c>
      <c r="P14" s="0" t="n">
        <v>14</v>
      </c>
    </row>
    <row r="15" customFormat="false" ht="15" hidden="false" customHeight="false" outlineLevel="0" collapsed="false">
      <c r="A15" s="0" t="s">
        <v>63</v>
      </c>
      <c r="B15" s="0" t="s">
        <v>64</v>
      </c>
      <c r="C15" s="0" t="s">
        <v>27</v>
      </c>
      <c r="D15" s="0" t="s">
        <v>47</v>
      </c>
      <c r="E15" s="0" t="s">
        <v>29</v>
      </c>
      <c r="F15" s="0" t="s">
        <v>30</v>
      </c>
      <c r="G15" s="16" t="n">
        <v>45593</v>
      </c>
      <c r="H15" s="0" t="n">
        <v>97</v>
      </c>
      <c r="I15" s="0" t="n">
        <v>22</v>
      </c>
      <c r="J15" s="0" t="n">
        <v>1</v>
      </c>
      <c r="K15" s="0" t="n">
        <v>114</v>
      </c>
      <c r="L15" s="0" t="n">
        <v>98</v>
      </c>
      <c r="M15" s="0" t="n">
        <v>430269</v>
      </c>
      <c r="N15" s="0" t="n">
        <v>443512</v>
      </c>
      <c r="O15" s="0" t="n">
        <v>4.1</v>
      </c>
      <c r="P15" s="0" t="n">
        <v>16</v>
      </c>
    </row>
    <row r="16" customFormat="false" ht="15" hidden="false" customHeight="false" outlineLevel="0" collapsed="false">
      <c r="A16" s="0" t="s">
        <v>65</v>
      </c>
      <c r="B16" s="0" t="s">
        <v>48</v>
      </c>
      <c r="C16" s="0" t="s">
        <v>56</v>
      </c>
      <c r="D16" s="0" t="s">
        <v>41</v>
      </c>
      <c r="E16" s="0" t="s">
        <v>16</v>
      </c>
      <c r="F16" s="0" t="s">
        <v>35</v>
      </c>
      <c r="G16" s="16" t="n">
        <v>44846</v>
      </c>
      <c r="H16" s="0" t="n">
        <v>88</v>
      </c>
      <c r="I16" s="0" t="n">
        <v>22</v>
      </c>
      <c r="J16" s="0" t="n">
        <v>0</v>
      </c>
      <c r="K16" s="0" t="n">
        <v>93</v>
      </c>
      <c r="L16" s="0" t="n">
        <v>74</v>
      </c>
      <c r="M16" s="0" t="n">
        <v>801870</v>
      </c>
      <c r="N16" s="0" t="n">
        <v>946506</v>
      </c>
      <c r="O16" s="0" t="n">
        <v>3.5</v>
      </c>
      <c r="P16" s="0" t="n">
        <v>3</v>
      </c>
    </row>
    <row r="17" customFormat="false" ht="15" hidden="false" customHeight="false" outlineLevel="0" collapsed="false">
      <c r="A17" s="0" t="s">
        <v>66</v>
      </c>
      <c r="B17" s="0" t="s">
        <v>62</v>
      </c>
      <c r="C17" s="0" t="s">
        <v>56</v>
      </c>
      <c r="D17" s="0" t="s">
        <v>41</v>
      </c>
      <c r="E17" s="0" t="s">
        <v>38</v>
      </c>
      <c r="F17" s="0" t="s">
        <v>48</v>
      </c>
      <c r="G17" s="16" t="n">
        <v>45086</v>
      </c>
      <c r="H17" s="0" t="n">
        <v>91</v>
      </c>
      <c r="I17" s="0" t="n">
        <v>22</v>
      </c>
      <c r="J17" s="0" t="n">
        <v>4</v>
      </c>
      <c r="K17" s="0" t="n">
        <v>193</v>
      </c>
      <c r="L17" s="0" t="n">
        <v>160</v>
      </c>
      <c r="M17" s="0" t="n">
        <v>543987</v>
      </c>
      <c r="N17" s="0" t="n">
        <v>562110</v>
      </c>
      <c r="O17" s="0" t="n">
        <v>4.6</v>
      </c>
      <c r="P17" s="0" t="n">
        <v>3</v>
      </c>
    </row>
    <row r="18" customFormat="false" ht="15" hidden="false" customHeight="false" outlineLevel="0" collapsed="false">
      <c r="A18" s="0" t="s">
        <v>67</v>
      </c>
      <c r="B18" s="0" t="s">
        <v>55</v>
      </c>
      <c r="C18" s="0" t="s">
        <v>56</v>
      </c>
      <c r="D18" s="0" t="s">
        <v>50</v>
      </c>
      <c r="E18" s="0" t="s">
        <v>29</v>
      </c>
      <c r="F18" s="0" t="s">
        <v>48</v>
      </c>
      <c r="G18" s="16" t="n">
        <v>45714</v>
      </c>
      <c r="H18" s="0" t="n">
        <v>86</v>
      </c>
      <c r="I18" s="0" t="n">
        <v>22</v>
      </c>
      <c r="J18" s="0" t="n">
        <v>1</v>
      </c>
      <c r="K18" s="0" t="n">
        <v>133</v>
      </c>
      <c r="L18" s="0" t="n">
        <v>129</v>
      </c>
      <c r="M18" s="0" t="n">
        <v>758110</v>
      </c>
      <c r="N18" s="0" t="n">
        <v>591938</v>
      </c>
      <c r="O18" s="0" t="n">
        <v>3.3</v>
      </c>
      <c r="P18" s="0" t="n">
        <v>9</v>
      </c>
    </row>
    <row r="19" customFormat="false" ht="15" hidden="false" customHeight="false" outlineLevel="0" collapsed="false">
      <c r="A19" s="0" t="s">
        <v>68</v>
      </c>
      <c r="B19" s="0" t="s">
        <v>44</v>
      </c>
      <c r="C19" s="0" t="s">
        <v>27</v>
      </c>
      <c r="D19" s="0" t="s">
        <v>41</v>
      </c>
      <c r="E19" s="0" t="s">
        <v>34</v>
      </c>
      <c r="F19" s="0" t="s">
        <v>48</v>
      </c>
      <c r="G19" s="16" t="n">
        <v>45298</v>
      </c>
      <c r="H19" s="0" t="n">
        <v>86</v>
      </c>
      <c r="I19" s="0" t="n">
        <v>22</v>
      </c>
      <c r="J19" s="0" t="n">
        <v>0</v>
      </c>
      <c r="K19" s="0" t="n">
        <v>140</v>
      </c>
      <c r="L19" s="0" t="n">
        <v>137</v>
      </c>
      <c r="M19" s="0" t="n">
        <v>196265</v>
      </c>
      <c r="N19" s="0" t="n">
        <v>153441</v>
      </c>
      <c r="O19" s="0" t="n">
        <v>3.9</v>
      </c>
      <c r="P19" s="0" t="n">
        <v>2</v>
      </c>
    </row>
    <row r="20" customFormat="false" ht="15" hidden="false" customHeight="false" outlineLevel="0" collapsed="false">
      <c r="A20" s="0" t="s">
        <v>69</v>
      </c>
      <c r="B20" s="0" t="s">
        <v>70</v>
      </c>
      <c r="C20" s="0" t="s">
        <v>56</v>
      </c>
      <c r="D20" s="0" t="s">
        <v>33</v>
      </c>
      <c r="E20" s="0" t="s">
        <v>16</v>
      </c>
      <c r="F20" s="0" t="s">
        <v>35</v>
      </c>
      <c r="G20" s="16" t="n">
        <v>44951</v>
      </c>
      <c r="H20" s="0" t="n">
        <v>89</v>
      </c>
      <c r="I20" s="0" t="n">
        <v>22</v>
      </c>
      <c r="J20" s="0" t="n">
        <v>4</v>
      </c>
      <c r="K20" s="0" t="n">
        <v>179</v>
      </c>
      <c r="L20" s="0" t="n">
        <v>142</v>
      </c>
      <c r="M20" s="0" t="n">
        <v>871731</v>
      </c>
      <c r="N20" s="0" t="n">
        <v>761579</v>
      </c>
      <c r="O20" s="0" t="n">
        <v>4.3</v>
      </c>
      <c r="P20" s="0" t="n">
        <v>7</v>
      </c>
    </row>
    <row r="21" customFormat="false" ht="15" hidden="false" customHeight="false" outlineLevel="0" collapsed="false">
      <c r="A21" s="0" t="s">
        <v>71</v>
      </c>
      <c r="B21" s="0" t="s">
        <v>72</v>
      </c>
      <c r="C21" s="0" t="s">
        <v>27</v>
      </c>
      <c r="D21" s="0" t="s">
        <v>41</v>
      </c>
      <c r="E21" s="0" t="s">
        <v>29</v>
      </c>
      <c r="F21" s="0" t="s">
        <v>42</v>
      </c>
      <c r="G21" s="16" t="n">
        <v>44572</v>
      </c>
      <c r="H21" s="0" t="n">
        <v>90</v>
      </c>
      <c r="I21" s="0" t="n">
        <v>22</v>
      </c>
      <c r="J21" s="0" t="n">
        <v>0</v>
      </c>
      <c r="K21" s="0" t="n">
        <v>78</v>
      </c>
      <c r="L21" s="0" t="n">
        <v>69</v>
      </c>
      <c r="M21" s="0" t="n">
        <v>177882</v>
      </c>
      <c r="N21" s="0" t="n">
        <v>136769</v>
      </c>
      <c r="O21" s="0" t="n">
        <v>3.3</v>
      </c>
      <c r="P21" s="0" t="n">
        <v>4</v>
      </c>
    </row>
    <row r="22" customFormat="false" ht="15" hidden="false" customHeight="false" outlineLevel="0" collapsed="false">
      <c r="A22" s="0" t="s">
        <v>73</v>
      </c>
      <c r="B22" s="0" t="s">
        <v>74</v>
      </c>
      <c r="C22" s="0" t="s">
        <v>56</v>
      </c>
      <c r="D22" s="0" t="s">
        <v>41</v>
      </c>
      <c r="E22" s="0" t="s">
        <v>29</v>
      </c>
      <c r="F22" s="0" t="s">
        <v>42</v>
      </c>
      <c r="G22" s="16" t="n">
        <v>44733</v>
      </c>
      <c r="H22" s="0" t="n">
        <v>90</v>
      </c>
      <c r="I22" s="0" t="n">
        <v>22</v>
      </c>
      <c r="J22" s="0" t="n">
        <v>3</v>
      </c>
      <c r="K22" s="0" t="n">
        <v>51</v>
      </c>
      <c r="L22" s="0" t="n">
        <v>38</v>
      </c>
      <c r="M22" s="0" t="n">
        <v>424456</v>
      </c>
      <c r="N22" s="0" t="n">
        <v>495782</v>
      </c>
      <c r="O22" s="0" t="n">
        <v>4.4</v>
      </c>
      <c r="P22" s="0" t="n">
        <v>2</v>
      </c>
    </row>
    <row r="23" customFormat="false" ht="15" hidden="false" customHeight="false" outlineLevel="0" collapsed="false">
      <c r="A23" s="0" t="s">
        <v>75</v>
      </c>
      <c r="B23" s="0" t="s">
        <v>62</v>
      </c>
      <c r="C23" s="0" t="s">
        <v>56</v>
      </c>
      <c r="D23" s="0" t="s">
        <v>50</v>
      </c>
      <c r="E23" s="0" t="s">
        <v>16</v>
      </c>
      <c r="F23" s="0" t="s">
        <v>30</v>
      </c>
      <c r="G23" s="16" t="n">
        <v>45980</v>
      </c>
      <c r="H23" s="0" t="n">
        <v>83</v>
      </c>
      <c r="I23" s="0" t="n">
        <v>22</v>
      </c>
      <c r="J23" s="0" t="n">
        <v>5</v>
      </c>
      <c r="K23" s="0" t="n">
        <v>181</v>
      </c>
      <c r="L23" s="0" t="n">
        <v>134</v>
      </c>
      <c r="M23" s="0" t="n">
        <v>142162</v>
      </c>
      <c r="N23" s="0" t="n">
        <v>164532</v>
      </c>
      <c r="O23" s="0" t="n">
        <v>4.6</v>
      </c>
      <c r="P23" s="0" t="n">
        <v>18</v>
      </c>
    </row>
    <row r="24" customFormat="false" ht="15" hidden="false" customHeight="false" outlineLevel="0" collapsed="false">
      <c r="A24" s="0" t="s">
        <v>76</v>
      </c>
      <c r="B24" s="0" t="s">
        <v>77</v>
      </c>
      <c r="C24" s="0" t="s">
        <v>27</v>
      </c>
      <c r="D24" s="0" t="s">
        <v>50</v>
      </c>
      <c r="E24" s="0" t="s">
        <v>16</v>
      </c>
      <c r="F24" s="0" t="s">
        <v>30</v>
      </c>
      <c r="G24" s="16" t="n">
        <v>45151</v>
      </c>
      <c r="H24" s="0" t="n">
        <v>96</v>
      </c>
      <c r="I24" s="0" t="n">
        <v>22</v>
      </c>
      <c r="J24" s="0" t="n">
        <v>3</v>
      </c>
      <c r="K24" s="0" t="n">
        <v>61</v>
      </c>
      <c r="L24" s="0" t="n">
        <v>55</v>
      </c>
      <c r="M24" s="0" t="n">
        <v>121705</v>
      </c>
      <c r="N24" s="0" t="n">
        <v>97870</v>
      </c>
      <c r="O24" s="0" t="n">
        <v>3.7</v>
      </c>
      <c r="P24" s="0" t="n">
        <v>20</v>
      </c>
    </row>
    <row r="25" customFormat="false" ht="15" hidden="false" customHeight="false" outlineLevel="0" collapsed="false">
      <c r="A25" s="0" t="s">
        <v>78</v>
      </c>
      <c r="B25" s="0" t="s">
        <v>79</v>
      </c>
      <c r="C25" s="0" t="s">
        <v>27</v>
      </c>
      <c r="D25" s="0" t="s">
        <v>28</v>
      </c>
      <c r="E25" s="0" t="s">
        <v>34</v>
      </c>
      <c r="F25" s="0" t="s">
        <v>80</v>
      </c>
      <c r="G25" s="16" t="n">
        <v>45442</v>
      </c>
      <c r="H25" s="0" t="n">
        <v>98</v>
      </c>
      <c r="I25" s="0" t="n">
        <v>22</v>
      </c>
      <c r="J25" s="0" t="n">
        <v>1</v>
      </c>
      <c r="K25" s="0" t="n">
        <v>136</v>
      </c>
      <c r="L25" s="0" t="n">
        <v>82</v>
      </c>
      <c r="M25" s="0" t="n">
        <v>107407</v>
      </c>
      <c r="N25" s="0" t="n">
        <v>100057</v>
      </c>
      <c r="O25" s="0" t="n">
        <v>4.4</v>
      </c>
      <c r="P25" s="0" t="n">
        <v>17</v>
      </c>
    </row>
    <row r="26" customFormat="false" ht="15" hidden="false" customHeight="false" outlineLevel="0" collapsed="false">
      <c r="A26" s="0" t="s">
        <v>81</v>
      </c>
      <c r="B26" s="0" t="s">
        <v>82</v>
      </c>
      <c r="C26" s="0" t="s">
        <v>27</v>
      </c>
      <c r="D26" s="0" t="s">
        <v>33</v>
      </c>
      <c r="E26" s="0" t="s">
        <v>38</v>
      </c>
      <c r="F26" s="0" t="s">
        <v>30</v>
      </c>
      <c r="G26" s="16" t="n">
        <v>45548</v>
      </c>
      <c r="H26" s="0" t="n">
        <v>94</v>
      </c>
      <c r="I26" s="0" t="n">
        <v>22</v>
      </c>
      <c r="J26" s="0" t="n">
        <v>3</v>
      </c>
      <c r="K26" s="0" t="n">
        <v>195</v>
      </c>
      <c r="L26" s="0" t="n">
        <v>142</v>
      </c>
      <c r="M26" s="0" t="n">
        <v>791431</v>
      </c>
      <c r="N26" s="0" t="n">
        <v>612255</v>
      </c>
      <c r="O26" s="0" t="n">
        <v>4.8</v>
      </c>
      <c r="P26" s="0" t="n">
        <v>6</v>
      </c>
    </row>
    <row r="27" customFormat="false" ht="15" hidden="false" customHeight="false" outlineLevel="0" collapsed="false">
      <c r="A27" s="0" t="s">
        <v>83</v>
      </c>
      <c r="B27" s="0" t="s">
        <v>48</v>
      </c>
      <c r="C27" s="0" t="s">
        <v>27</v>
      </c>
      <c r="D27" s="0" t="s">
        <v>28</v>
      </c>
      <c r="E27" s="0" t="s">
        <v>34</v>
      </c>
      <c r="F27" s="0" t="s">
        <v>42</v>
      </c>
      <c r="G27" s="16" t="n">
        <v>45016</v>
      </c>
      <c r="H27" s="0" t="n">
        <v>94</v>
      </c>
      <c r="I27" s="0" t="n">
        <v>22</v>
      </c>
      <c r="J27" s="0" t="n">
        <v>2</v>
      </c>
      <c r="K27" s="0" t="n">
        <v>77</v>
      </c>
      <c r="L27" s="0" t="n">
        <v>77</v>
      </c>
      <c r="M27" s="0" t="n">
        <v>577921</v>
      </c>
      <c r="N27" s="0" t="n">
        <v>430796</v>
      </c>
      <c r="O27" s="0" t="n">
        <v>3.9</v>
      </c>
      <c r="P27" s="0" t="n">
        <v>0</v>
      </c>
    </row>
    <row r="28" customFormat="false" ht="15" hidden="false" customHeight="false" outlineLevel="0" collapsed="false">
      <c r="A28" s="0" t="s">
        <v>84</v>
      </c>
      <c r="B28" s="0" t="s">
        <v>70</v>
      </c>
      <c r="C28" s="0" t="s">
        <v>27</v>
      </c>
      <c r="D28" s="0" t="s">
        <v>33</v>
      </c>
      <c r="E28" s="0" t="s">
        <v>34</v>
      </c>
      <c r="F28" s="0" t="s">
        <v>30</v>
      </c>
      <c r="G28" s="16" t="n">
        <v>44862</v>
      </c>
      <c r="H28" s="0" t="n">
        <v>94</v>
      </c>
      <c r="I28" s="0" t="n">
        <v>22</v>
      </c>
      <c r="J28" s="0" t="n">
        <v>0</v>
      </c>
      <c r="K28" s="0" t="n">
        <v>102</v>
      </c>
      <c r="L28" s="0" t="n">
        <v>76</v>
      </c>
      <c r="M28" s="0" t="n">
        <v>477825</v>
      </c>
      <c r="N28" s="0" t="n">
        <v>483987</v>
      </c>
      <c r="O28" s="0" t="n">
        <v>3.4</v>
      </c>
      <c r="P28" s="0" t="n">
        <v>9</v>
      </c>
    </row>
    <row r="29" customFormat="false" ht="15" hidden="false" customHeight="false" outlineLevel="0" collapsed="false">
      <c r="A29" s="0" t="s">
        <v>85</v>
      </c>
      <c r="B29" s="0" t="s">
        <v>64</v>
      </c>
      <c r="C29" s="0" t="s">
        <v>56</v>
      </c>
      <c r="D29" s="0" t="s">
        <v>41</v>
      </c>
      <c r="E29" s="0" t="s">
        <v>16</v>
      </c>
      <c r="F29" s="0" t="s">
        <v>35</v>
      </c>
      <c r="G29" s="16" t="n">
        <v>45563</v>
      </c>
      <c r="H29" s="0" t="n">
        <v>92</v>
      </c>
      <c r="I29" s="0" t="n">
        <v>22</v>
      </c>
      <c r="J29" s="0" t="n">
        <v>2</v>
      </c>
      <c r="K29" s="0" t="n">
        <v>175</v>
      </c>
      <c r="L29" s="0" t="n">
        <v>140</v>
      </c>
      <c r="M29" s="0" t="n">
        <v>576883</v>
      </c>
      <c r="N29" s="0" t="n">
        <v>484231</v>
      </c>
      <c r="O29" s="0" t="n">
        <v>4.5</v>
      </c>
      <c r="P29" s="0" t="n">
        <v>6</v>
      </c>
    </row>
    <row r="30" customFormat="false" ht="15" hidden="false" customHeight="false" outlineLevel="0" collapsed="false">
      <c r="A30" s="0" t="s">
        <v>86</v>
      </c>
      <c r="B30" s="0" t="s">
        <v>64</v>
      </c>
      <c r="C30" s="0" t="s">
        <v>56</v>
      </c>
      <c r="D30" s="0" t="s">
        <v>41</v>
      </c>
      <c r="E30" s="0" t="s">
        <v>53</v>
      </c>
      <c r="F30" s="0" t="s">
        <v>42</v>
      </c>
      <c r="G30" s="16" t="n">
        <v>45360</v>
      </c>
      <c r="H30" s="0" t="n">
        <v>94</v>
      </c>
      <c r="I30" s="0" t="n">
        <v>22</v>
      </c>
      <c r="J30" s="0" t="n">
        <v>4</v>
      </c>
      <c r="K30" s="0" t="n">
        <v>65</v>
      </c>
      <c r="L30" s="0" t="n">
        <v>65</v>
      </c>
      <c r="M30" s="0" t="n">
        <v>170722</v>
      </c>
      <c r="N30" s="0" t="n">
        <v>163880</v>
      </c>
      <c r="O30" s="0" t="n">
        <v>3</v>
      </c>
      <c r="P30" s="0" t="n">
        <v>16</v>
      </c>
    </row>
    <row r="31" customFormat="false" ht="15" hidden="false" customHeight="false" outlineLevel="0" collapsed="false">
      <c r="A31" s="0" t="s">
        <v>87</v>
      </c>
      <c r="B31" s="0" t="s">
        <v>37</v>
      </c>
      <c r="C31" s="0" t="s">
        <v>27</v>
      </c>
      <c r="D31" s="0" t="s">
        <v>33</v>
      </c>
      <c r="E31" s="0" t="s">
        <v>29</v>
      </c>
      <c r="F31" s="0" t="s">
        <v>35</v>
      </c>
      <c r="G31" s="16" t="n">
        <v>45212</v>
      </c>
      <c r="H31" s="0" t="n">
        <v>92</v>
      </c>
      <c r="I31" s="0" t="n">
        <v>22</v>
      </c>
      <c r="J31" s="0" t="n">
        <v>1</v>
      </c>
      <c r="K31" s="0" t="n">
        <v>57</v>
      </c>
      <c r="L31" s="0" t="n">
        <v>36</v>
      </c>
      <c r="M31" s="0" t="n">
        <v>430473</v>
      </c>
      <c r="N31" s="0" t="n">
        <v>481775</v>
      </c>
      <c r="O31" s="0" t="n">
        <v>4.6</v>
      </c>
      <c r="P31" s="0" t="n">
        <v>18</v>
      </c>
    </row>
    <row r="32" customFormat="false" ht="15" hidden="false" customHeight="false" outlineLevel="0" collapsed="false">
      <c r="A32" s="0" t="s">
        <v>88</v>
      </c>
      <c r="B32" s="0" t="s">
        <v>62</v>
      </c>
      <c r="C32" s="0" t="s">
        <v>27</v>
      </c>
      <c r="D32" s="0" t="s">
        <v>50</v>
      </c>
      <c r="E32" s="0" t="s">
        <v>38</v>
      </c>
      <c r="F32" s="0" t="s">
        <v>42</v>
      </c>
      <c r="G32" s="16" t="n">
        <v>45316</v>
      </c>
      <c r="H32" s="0" t="n">
        <v>86</v>
      </c>
      <c r="I32" s="0" t="n">
        <v>22</v>
      </c>
      <c r="J32" s="0" t="n">
        <v>2</v>
      </c>
      <c r="K32" s="0" t="n">
        <v>64</v>
      </c>
      <c r="L32" s="0" t="n">
        <v>40</v>
      </c>
      <c r="M32" s="0" t="n">
        <v>497671</v>
      </c>
      <c r="N32" s="0" t="n">
        <v>405249</v>
      </c>
      <c r="O32" s="0" t="n">
        <v>4.4</v>
      </c>
      <c r="P32" s="0" t="n">
        <v>17</v>
      </c>
    </row>
    <row r="33" customFormat="false" ht="15" hidden="false" customHeight="false" outlineLevel="0" collapsed="false">
      <c r="A33" s="0" t="s">
        <v>89</v>
      </c>
      <c r="B33" s="0" t="s">
        <v>79</v>
      </c>
      <c r="C33" s="0" t="s">
        <v>56</v>
      </c>
      <c r="D33" s="0" t="s">
        <v>41</v>
      </c>
      <c r="E33" s="0" t="s">
        <v>29</v>
      </c>
      <c r="F33" s="0" t="s">
        <v>80</v>
      </c>
      <c r="G33" s="16" t="n">
        <v>45494</v>
      </c>
      <c r="H33" s="0" t="n">
        <v>97</v>
      </c>
      <c r="I33" s="0" t="n">
        <v>22</v>
      </c>
      <c r="J33" s="0" t="n">
        <v>0</v>
      </c>
      <c r="K33" s="0" t="n">
        <v>103</v>
      </c>
      <c r="L33" s="0" t="n">
        <v>95</v>
      </c>
      <c r="M33" s="0" t="n">
        <v>379421</v>
      </c>
      <c r="N33" s="0" t="n">
        <v>405796</v>
      </c>
      <c r="O33" s="0" t="n">
        <v>4.4</v>
      </c>
      <c r="P33" s="0" t="n">
        <v>13</v>
      </c>
    </row>
    <row r="34" customFormat="false" ht="15" hidden="false" customHeight="false" outlineLevel="0" collapsed="false">
      <c r="A34" s="0" t="s">
        <v>90</v>
      </c>
      <c r="B34" s="0" t="s">
        <v>77</v>
      </c>
      <c r="C34" s="0" t="s">
        <v>27</v>
      </c>
      <c r="D34" s="0" t="s">
        <v>41</v>
      </c>
      <c r="E34" s="0" t="s">
        <v>16</v>
      </c>
      <c r="F34" s="0" t="s">
        <v>48</v>
      </c>
      <c r="G34" s="16" t="n">
        <v>44734</v>
      </c>
      <c r="H34" s="0" t="n">
        <v>89</v>
      </c>
      <c r="I34" s="0" t="n">
        <v>22</v>
      </c>
      <c r="J34" s="0" t="n">
        <v>0</v>
      </c>
      <c r="K34" s="0" t="n">
        <v>154</v>
      </c>
      <c r="L34" s="0" t="n">
        <v>137</v>
      </c>
      <c r="M34" s="0" t="n">
        <v>192932</v>
      </c>
      <c r="N34" s="0" t="n">
        <v>156959</v>
      </c>
      <c r="O34" s="0" t="n">
        <v>4.6</v>
      </c>
      <c r="P34" s="0" t="n">
        <v>1</v>
      </c>
    </row>
    <row r="35" customFormat="false" ht="15" hidden="false" customHeight="false" outlineLevel="0" collapsed="false">
      <c r="A35" s="0" t="s">
        <v>91</v>
      </c>
      <c r="B35" s="0" t="s">
        <v>92</v>
      </c>
      <c r="C35" s="0" t="s">
        <v>27</v>
      </c>
      <c r="D35" s="0" t="s">
        <v>33</v>
      </c>
      <c r="E35" s="0" t="s">
        <v>16</v>
      </c>
      <c r="F35" s="0" t="s">
        <v>30</v>
      </c>
      <c r="G35" s="16" t="n">
        <v>44819</v>
      </c>
      <c r="H35" s="0" t="n">
        <v>84</v>
      </c>
      <c r="I35" s="0" t="n">
        <v>22</v>
      </c>
      <c r="J35" s="0" t="n">
        <v>4</v>
      </c>
      <c r="K35" s="0" t="n">
        <v>91</v>
      </c>
      <c r="L35" s="0" t="n">
        <v>72</v>
      </c>
      <c r="M35" s="0" t="n">
        <v>101080</v>
      </c>
      <c r="N35" s="0" t="n">
        <v>86573</v>
      </c>
      <c r="O35" s="0" t="n">
        <v>3.2</v>
      </c>
      <c r="P35" s="0" t="n">
        <v>13</v>
      </c>
    </row>
    <row r="36" customFormat="false" ht="15" hidden="false" customHeight="false" outlineLevel="0" collapsed="false">
      <c r="A36" s="0" t="s">
        <v>93</v>
      </c>
      <c r="B36" s="0" t="s">
        <v>44</v>
      </c>
      <c r="C36" s="0" t="s">
        <v>27</v>
      </c>
      <c r="D36" s="0" t="s">
        <v>47</v>
      </c>
      <c r="E36" s="0" t="s">
        <v>38</v>
      </c>
      <c r="F36" s="0" t="s">
        <v>80</v>
      </c>
      <c r="G36" s="16" t="n">
        <v>45306</v>
      </c>
      <c r="H36" s="0" t="n">
        <v>81</v>
      </c>
      <c r="I36" s="0" t="n">
        <v>22</v>
      </c>
      <c r="J36" s="0" t="n">
        <v>0</v>
      </c>
      <c r="K36" s="0" t="n">
        <v>145</v>
      </c>
      <c r="L36" s="0" t="n">
        <v>103</v>
      </c>
      <c r="M36" s="0" t="n">
        <v>596965</v>
      </c>
      <c r="N36" s="0" t="n">
        <v>476920</v>
      </c>
      <c r="O36" s="0" t="n">
        <v>4.5</v>
      </c>
      <c r="P36" s="0" t="n">
        <v>15</v>
      </c>
    </row>
    <row r="37" customFormat="false" ht="15" hidden="false" customHeight="false" outlineLevel="0" collapsed="false">
      <c r="A37" s="0" t="s">
        <v>94</v>
      </c>
      <c r="B37" s="0" t="s">
        <v>55</v>
      </c>
      <c r="C37" s="0" t="s">
        <v>56</v>
      </c>
      <c r="D37" s="0" t="s">
        <v>28</v>
      </c>
      <c r="E37" s="0" t="s">
        <v>29</v>
      </c>
      <c r="F37" s="0" t="s">
        <v>48</v>
      </c>
      <c r="G37" s="16" t="n">
        <v>45818</v>
      </c>
      <c r="H37" s="0" t="n">
        <v>89</v>
      </c>
      <c r="I37" s="0" t="n">
        <v>22</v>
      </c>
      <c r="J37" s="0" t="n">
        <v>1</v>
      </c>
      <c r="K37" s="0" t="n">
        <v>140</v>
      </c>
      <c r="L37" s="0" t="n">
        <v>87</v>
      </c>
      <c r="M37" s="0" t="n">
        <v>792771</v>
      </c>
      <c r="N37" s="0" t="n">
        <v>644877</v>
      </c>
      <c r="O37" s="0" t="n">
        <v>3.5</v>
      </c>
      <c r="P37" s="0" t="n">
        <v>3</v>
      </c>
    </row>
    <row r="38" customFormat="false" ht="15" hidden="false" customHeight="false" outlineLevel="0" collapsed="false">
      <c r="A38" s="0" t="s">
        <v>95</v>
      </c>
      <c r="B38" s="0" t="s">
        <v>26</v>
      </c>
      <c r="C38" s="0" t="s">
        <v>56</v>
      </c>
      <c r="D38" s="0" t="s">
        <v>47</v>
      </c>
      <c r="E38" s="0" t="s">
        <v>16</v>
      </c>
      <c r="F38" s="0" t="s">
        <v>35</v>
      </c>
      <c r="G38" s="16" t="n">
        <v>45668</v>
      </c>
      <c r="H38" s="0" t="n">
        <v>92</v>
      </c>
      <c r="I38" s="0" t="n">
        <v>22</v>
      </c>
      <c r="J38" s="0" t="n">
        <v>3</v>
      </c>
      <c r="K38" s="0" t="n">
        <v>84</v>
      </c>
      <c r="L38" s="0" t="n">
        <v>81</v>
      </c>
      <c r="M38" s="0" t="n">
        <v>680424</v>
      </c>
      <c r="N38" s="0" t="n">
        <v>550391</v>
      </c>
      <c r="O38" s="0" t="n">
        <v>4.7</v>
      </c>
      <c r="P38" s="0" t="n">
        <v>2</v>
      </c>
    </row>
    <row r="39" customFormat="false" ht="15" hidden="false" customHeight="false" outlineLevel="0" collapsed="false">
      <c r="A39" s="0" t="s">
        <v>96</v>
      </c>
      <c r="B39" s="0" t="s">
        <v>32</v>
      </c>
      <c r="C39" s="0" t="s">
        <v>56</v>
      </c>
      <c r="D39" s="0" t="s">
        <v>28</v>
      </c>
      <c r="E39" s="0" t="s">
        <v>29</v>
      </c>
      <c r="F39" s="0" t="s">
        <v>80</v>
      </c>
      <c r="G39" s="16" t="n">
        <v>45408</v>
      </c>
      <c r="H39" s="0" t="n">
        <v>100</v>
      </c>
      <c r="I39" s="0" t="n">
        <v>22</v>
      </c>
      <c r="J39" s="0" t="n">
        <v>4</v>
      </c>
      <c r="K39" s="0" t="n">
        <v>139</v>
      </c>
      <c r="L39" s="0" t="n">
        <v>134</v>
      </c>
      <c r="M39" s="0" t="n">
        <v>732479</v>
      </c>
      <c r="N39" s="0" t="n">
        <v>802758</v>
      </c>
      <c r="O39" s="0" t="n">
        <v>3.4</v>
      </c>
      <c r="P39" s="0" t="n">
        <v>20</v>
      </c>
    </row>
    <row r="40" customFormat="false" ht="15" hidden="false" customHeight="false" outlineLevel="0" collapsed="false">
      <c r="A40" s="0" t="s">
        <v>97</v>
      </c>
      <c r="B40" s="0" t="s">
        <v>62</v>
      </c>
      <c r="C40" s="0" t="s">
        <v>56</v>
      </c>
      <c r="D40" s="0" t="s">
        <v>33</v>
      </c>
      <c r="E40" s="0" t="s">
        <v>38</v>
      </c>
      <c r="F40" s="0" t="s">
        <v>48</v>
      </c>
      <c r="G40" s="16" t="n">
        <v>45187</v>
      </c>
      <c r="H40" s="0" t="n">
        <v>83</v>
      </c>
      <c r="I40" s="0" t="n">
        <v>22</v>
      </c>
      <c r="J40" s="0" t="n">
        <v>2</v>
      </c>
      <c r="K40" s="0" t="n">
        <v>192</v>
      </c>
      <c r="L40" s="0" t="n">
        <v>141</v>
      </c>
      <c r="M40" s="0" t="n">
        <v>138773</v>
      </c>
      <c r="N40" s="0" t="n">
        <v>123076</v>
      </c>
      <c r="O40" s="0" t="n">
        <v>4.8</v>
      </c>
      <c r="P40" s="0" t="n">
        <v>8</v>
      </c>
    </row>
    <row r="41" customFormat="false" ht="15" hidden="false" customHeight="false" outlineLevel="0" collapsed="false">
      <c r="A41" s="0" t="s">
        <v>98</v>
      </c>
      <c r="B41" s="0" t="s">
        <v>79</v>
      </c>
      <c r="C41" s="0" t="s">
        <v>56</v>
      </c>
      <c r="D41" s="0" t="s">
        <v>33</v>
      </c>
      <c r="E41" s="0" t="s">
        <v>16</v>
      </c>
      <c r="F41" s="0" t="s">
        <v>42</v>
      </c>
      <c r="G41" s="16" t="n">
        <v>46155</v>
      </c>
      <c r="H41" s="0" t="n">
        <v>100</v>
      </c>
      <c r="I41" s="0" t="n">
        <v>22</v>
      </c>
      <c r="J41" s="0" t="n">
        <v>4</v>
      </c>
      <c r="K41" s="0" t="n">
        <v>119</v>
      </c>
      <c r="L41" s="0" t="n">
        <v>95</v>
      </c>
      <c r="M41" s="0" t="n">
        <v>734226</v>
      </c>
      <c r="N41" s="0" t="n">
        <v>682192</v>
      </c>
      <c r="O41" s="0" t="n">
        <v>5</v>
      </c>
      <c r="P41" s="0" t="n">
        <v>4</v>
      </c>
    </row>
    <row r="42" customFormat="false" ht="15" hidden="false" customHeight="false" outlineLevel="0" collapsed="false">
      <c r="A42" s="0" t="s">
        <v>99</v>
      </c>
      <c r="B42" s="0" t="s">
        <v>70</v>
      </c>
      <c r="C42" s="0" t="s">
        <v>56</v>
      </c>
      <c r="D42" s="0" t="s">
        <v>28</v>
      </c>
      <c r="E42" s="0" t="s">
        <v>53</v>
      </c>
      <c r="F42" s="0" t="s">
        <v>80</v>
      </c>
      <c r="G42" s="16" t="n">
        <v>45261</v>
      </c>
      <c r="H42" s="0" t="n">
        <v>87</v>
      </c>
      <c r="I42" s="0" t="n">
        <v>22</v>
      </c>
      <c r="J42" s="0" t="n">
        <v>2</v>
      </c>
      <c r="K42" s="0" t="n">
        <v>190</v>
      </c>
      <c r="L42" s="0" t="n">
        <v>153</v>
      </c>
      <c r="M42" s="0" t="n">
        <v>495308</v>
      </c>
      <c r="N42" s="0" t="n">
        <v>454685</v>
      </c>
      <c r="O42" s="0" t="n">
        <v>5</v>
      </c>
      <c r="P42" s="0" t="n">
        <v>13</v>
      </c>
    </row>
    <row r="43" customFormat="false" ht="15" hidden="false" customHeight="false" outlineLevel="0" collapsed="false">
      <c r="A43" s="0" t="s">
        <v>100</v>
      </c>
      <c r="B43" s="0" t="s">
        <v>70</v>
      </c>
      <c r="C43" s="0" t="s">
        <v>27</v>
      </c>
      <c r="D43" s="0" t="s">
        <v>50</v>
      </c>
      <c r="E43" s="0" t="s">
        <v>29</v>
      </c>
      <c r="F43" s="0" t="s">
        <v>80</v>
      </c>
      <c r="G43" s="16" t="n">
        <v>45056</v>
      </c>
      <c r="H43" s="0" t="n">
        <v>82</v>
      </c>
      <c r="I43" s="0" t="n">
        <v>22</v>
      </c>
      <c r="J43" s="0" t="n">
        <v>3</v>
      </c>
      <c r="K43" s="0" t="n">
        <v>117</v>
      </c>
      <c r="L43" s="0" t="n">
        <v>101</v>
      </c>
      <c r="M43" s="0" t="n">
        <v>565772</v>
      </c>
      <c r="N43" s="0" t="n">
        <v>665579</v>
      </c>
      <c r="O43" s="0" t="n">
        <v>3.2</v>
      </c>
      <c r="P43" s="0" t="n">
        <v>13</v>
      </c>
    </row>
    <row r="44" customFormat="false" ht="15" hidden="false" customHeight="false" outlineLevel="0" collapsed="false">
      <c r="A44" s="0" t="s">
        <v>101</v>
      </c>
      <c r="B44" s="0" t="s">
        <v>70</v>
      </c>
      <c r="C44" s="0" t="s">
        <v>56</v>
      </c>
      <c r="D44" s="0" t="s">
        <v>41</v>
      </c>
      <c r="E44" s="0" t="s">
        <v>38</v>
      </c>
      <c r="F44" s="0" t="s">
        <v>42</v>
      </c>
      <c r="G44" s="16" t="n">
        <v>44897</v>
      </c>
      <c r="H44" s="0" t="n">
        <v>83</v>
      </c>
      <c r="I44" s="0" t="n">
        <v>22</v>
      </c>
      <c r="J44" s="0" t="n">
        <v>5</v>
      </c>
      <c r="K44" s="0" t="n">
        <v>79</v>
      </c>
      <c r="L44" s="0" t="n">
        <v>54</v>
      </c>
      <c r="M44" s="0" t="n">
        <v>988666</v>
      </c>
      <c r="N44" s="0" t="n">
        <v>1102734</v>
      </c>
      <c r="O44" s="0" t="n">
        <v>4.4</v>
      </c>
      <c r="P44" s="0" t="n">
        <v>5</v>
      </c>
    </row>
    <row r="45" customFormat="false" ht="15" hidden="false" customHeight="false" outlineLevel="0" collapsed="false">
      <c r="A45" s="0" t="s">
        <v>102</v>
      </c>
      <c r="B45" s="0" t="s">
        <v>92</v>
      </c>
      <c r="C45" s="0" t="s">
        <v>56</v>
      </c>
      <c r="D45" s="0" t="s">
        <v>28</v>
      </c>
      <c r="E45" s="0" t="s">
        <v>38</v>
      </c>
      <c r="F45" s="0" t="s">
        <v>48</v>
      </c>
      <c r="G45" s="16" t="n">
        <v>46093</v>
      </c>
      <c r="H45" s="0" t="n">
        <v>91</v>
      </c>
      <c r="I45" s="0" t="n">
        <v>22</v>
      </c>
      <c r="J45" s="0" t="n">
        <v>2</v>
      </c>
      <c r="K45" s="0" t="n">
        <v>52</v>
      </c>
      <c r="L45" s="0" t="n">
        <v>44</v>
      </c>
      <c r="M45" s="0" t="n">
        <v>165638</v>
      </c>
      <c r="N45" s="0" t="n">
        <v>157034</v>
      </c>
      <c r="O45" s="0" t="n">
        <v>3.1</v>
      </c>
      <c r="P45" s="0" t="n">
        <v>8</v>
      </c>
    </row>
    <row r="46" customFormat="false" ht="15" hidden="false" customHeight="false" outlineLevel="0" collapsed="false">
      <c r="A46" s="0" t="s">
        <v>103</v>
      </c>
      <c r="B46" s="0" t="s">
        <v>62</v>
      </c>
      <c r="C46" s="0" t="s">
        <v>56</v>
      </c>
      <c r="D46" s="0" t="s">
        <v>33</v>
      </c>
      <c r="E46" s="0" t="s">
        <v>16</v>
      </c>
      <c r="F46" s="0" t="s">
        <v>42</v>
      </c>
      <c r="G46" s="16" t="n">
        <v>45096</v>
      </c>
      <c r="H46" s="0" t="n">
        <v>98</v>
      </c>
      <c r="I46" s="0" t="n">
        <v>22</v>
      </c>
      <c r="J46" s="0" t="n">
        <v>5</v>
      </c>
      <c r="K46" s="0" t="n">
        <v>69</v>
      </c>
      <c r="L46" s="0" t="n">
        <v>42</v>
      </c>
      <c r="M46" s="0" t="n">
        <v>865146</v>
      </c>
      <c r="N46" s="0" t="n">
        <v>954593</v>
      </c>
      <c r="O46" s="0" t="n">
        <v>4.4</v>
      </c>
      <c r="P46" s="0" t="n">
        <v>6</v>
      </c>
    </row>
    <row r="47" customFormat="false" ht="15" hidden="false" customHeight="false" outlineLevel="0" collapsed="false">
      <c r="A47" s="0" t="s">
        <v>104</v>
      </c>
      <c r="B47" s="0" t="s">
        <v>55</v>
      </c>
      <c r="C47" s="0" t="s">
        <v>27</v>
      </c>
      <c r="D47" s="0" t="s">
        <v>47</v>
      </c>
      <c r="E47" s="0" t="s">
        <v>34</v>
      </c>
      <c r="F47" s="0" t="s">
        <v>30</v>
      </c>
      <c r="G47" s="16" t="n">
        <v>45617</v>
      </c>
      <c r="H47" s="0" t="n">
        <v>86</v>
      </c>
      <c r="I47" s="0" t="n">
        <v>22</v>
      </c>
      <c r="J47" s="0" t="n">
        <v>2</v>
      </c>
      <c r="K47" s="0" t="n">
        <v>57</v>
      </c>
      <c r="L47" s="0" t="n">
        <v>43</v>
      </c>
      <c r="M47" s="0" t="n">
        <v>814268</v>
      </c>
      <c r="N47" s="0" t="n">
        <v>897555</v>
      </c>
      <c r="O47" s="0" t="n">
        <v>4.5</v>
      </c>
      <c r="P47" s="0" t="n">
        <v>18</v>
      </c>
    </row>
    <row r="48" customFormat="false" ht="15" hidden="false" customHeight="false" outlineLevel="0" collapsed="false">
      <c r="A48" s="0" t="s">
        <v>105</v>
      </c>
      <c r="B48" s="0" t="s">
        <v>106</v>
      </c>
      <c r="C48" s="0" t="s">
        <v>27</v>
      </c>
      <c r="D48" s="0" t="s">
        <v>41</v>
      </c>
      <c r="E48" s="0" t="s">
        <v>16</v>
      </c>
      <c r="F48" s="0" t="s">
        <v>48</v>
      </c>
      <c r="G48" s="16" t="n">
        <v>45669</v>
      </c>
      <c r="H48" s="0" t="n">
        <v>80</v>
      </c>
      <c r="I48" s="0" t="n">
        <v>22</v>
      </c>
      <c r="J48" s="0" t="n">
        <v>0</v>
      </c>
      <c r="K48" s="0" t="n">
        <v>192</v>
      </c>
      <c r="L48" s="0" t="n">
        <v>164</v>
      </c>
      <c r="M48" s="0" t="n">
        <v>402094</v>
      </c>
      <c r="N48" s="0" t="n">
        <v>458346</v>
      </c>
      <c r="O48" s="0" t="n">
        <v>3.6</v>
      </c>
      <c r="P48" s="0" t="n">
        <v>8</v>
      </c>
    </row>
    <row r="49" customFormat="false" ht="15" hidden="false" customHeight="false" outlineLevel="0" collapsed="false">
      <c r="A49" s="0" t="s">
        <v>107</v>
      </c>
      <c r="B49" s="0" t="s">
        <v>64</v>
      </c>
      <c r="C49" s="0" t="s">
        <v>27</v>
      </c>
      <c r="D49" s="0" t="s">
        <v>33</v>
      </c>
      <c r="E49" s="0" t="s">
        <v>34</v>
      </c>
      <c r="F49" s="0" t="s">
        <v>30</v>
      </c>
      <c r="G49" s="16" t="n">
        <v>45004</v>
      </c>
      <c r="H49" s="0" t="n">
        <v>89</v>
      </c>
      <c r="I49" s="0" t="n">
        <v>22</v>
      </c>
      <c r="J49" s="0" t="n">
        <v>3</v>
      </c>
      <c r="K49" s="0" t="n">
        <v>101</v>
      </c>
      <c r="L49" s="0" t="n">
        <v>98</v>
      </c>
      <c r="M49" s="0" t="n">
        <v>261112</v>
      </c>
      <c r="N49" s="0" t="n">
        <v>251828</v>
      </c>
      <c r="O49" s="0" t="n">
        <v>4.7</v>
      </c>
      <c r="P49" s="0" t="n">
        <v>19</v>
      </c>
    </row>
    <row r="50" customFormat="false" ht="15" hidden="false" customHeight="false" outlineLevel="0" collapsed="false">
      <c r="A50" s="0" t="s">
        <v>108</v>
      </c>
      <c r="B50" s="0" t="s">
        <v>55</v>
      </c>
      <c r="C50" s="0" t="s">
        <v>27</v>
      </c>
      <c r="D50" s="0" t="s">
        <v>28</v>
      </c>
      <c r="E50" s="0" t="s">
        <v>34</v>
      </c>
      <c r="F50" s="0" t="s">
        <v>80</v>
      </c>
      <c r="G50" s="16" t="n">
        <v>46025</v>
      </c>
      <c r="H50" s="0" t="n">
        <v>100</v>
      </c>
      <c r="I50" s="0" t="n">
        <v>22</v>
      </c>
      <c r="J50" s="0" t="n">
        <v>4</v>
      </c>
      <c r="K50" s="0" t="n">
        <v>140</v>
      </c>
      <c r="L50" s="0" t="n">
        <v>121</v>
      </c>
      <c r="M50" s="0" t="n">
        <v>824390</v>
      </c>
      <c r="N50" s="0" t="n">
        <v>979639</v>
      </c>
      <c r="O50" s="0" t="n">
        <v>4.7</v>
      </c>
      <c r="P50" s="0" t="n">
        <v>1</v>
      </c>
    </row>
    <row r="51" customFormat="false" ht="15" hidden="false" customHeight="false" outlineLevel="0" collapsed="false">
      <c r="A51" s="0" t="s">
        <v>109</v>
      </c>
      <c r="B51" s="0" t="s">
        <v>64</v>
      </c>
      <c r="C51" s="0" t="s">
        <v>56</v>
      </c>
      <c r="D51" s="0" t="s">
        <v>50</v>
      </c>
      <c r="E51" s="0" t="s">
        <v>38</v>
      </c>
      <c r="F51" s="0" t="s">
        <v>48</v>
      </c>
      <c r="G51" s="16" t="n">
        <v>45642</v>
      </c>
      <c r="H51" s="0" t="n">
        <v>90</v>
      </c>
      <c r="I51" s="0" t="n">
        <v>22</v>
      </c>
      <c r="J51" s="0" t="n">
        <v>2</v>
      </c>
      <c r="K51" s="0" t="n">
        <v>151</v>
      </c>
      <c r="L51" s="0" t="n">
        <v>148</v>
      </c>
      <c r="M51" s="0" t="n">
        <v>199748</v>
      </c>
      <c r="N51" s="0" t="n">
        <v>151243</v>
      </c>
      <c r="O51" s="0" t="n">
        <v>4.5</v>
      </c>
      <c r="P51" s="0" t="n">
        <v>16</v>
      </c>
    </row>
    <row r="52" customFormat="false" ht="15" hidden="false" customHeight="false" outlineLevel="0" collapsed="false">
      <c r="A52" s="0" t="s">
        <v>110</v>
      </c>
      <c r="B52" s="0" t="s">
        <v>59</v>
      </c>
      <c r="C52" s="0" t="s">
        <v>56</v>
      </c>
      <c r="D52" s="0" t="s">
        <v>50</v>
      </c>
      <c r="E52" s="0" t="s">
        <v>38</v>
      </c>
      <c r="F52" s="0" t="s">
        <v>80</v>
      </c>
      <c r="G52" s="16" t="n">
        <v>45610</v>
      </c>
      <c r="H52" s="0" t="n">
        <v>97</v>
      </c>
      <c r="I52" s="0" t="n">
        <v>22</v>
      </c>
      <c r="J52" s="0" t="n">
        <v>3</v>
      </c>
      <c r="K52" s="0" t="n">
        <v>57</v>
      </c>
      <c r="L52" s="0" t="n">
        <v>43</v>
      </c>
      <c r="M52" s="0" t="n">
        <v>655683</v>
      </c>
      <c r="N52" s="0" t="n">
        <v>678841</v>
      </c>
      <c r="O52" s="0" t="n">
        <v>4.5</v>
      </c>
      <c r="P52" s="0" t="n">
        <v>18</v>
      </c>
    </row>
    <row r="53" customFormat="false" ht="15" hidden="false" customHeight="false" outlineLevel="0" collapsed="false">
      <c r="A53" s="0" t="s">
        <v>111</v>
      </c>
      <c r="B53" s="0" t="s">
        <v>74</v>
      </c>
      <c r="C53" s="0" t="s">
        <v>27</v>
      </c>
      <c r="D53" s="0" t="s">
        <v>33</v>
      </c>
      <c r="E53" s="0" t="s">
        <v>34</v>
      </c>
      <c r="F53" s="0" t="s">
        <v>80</v>
      </c>
      <c r="G53" s="16" t="n">
        <v>44816</v>
      </c>
      <c r="H53" s="0" t="n">
        <v>97</v>
      </c>
      <c r="I53" s="0" t="n">
        <v>22</v>
      </c>
      <c r="J53" s="0" t="n">
        <v>1</v>
      </c>
      <c r="K53" s="0" t="n">
        <v>158</v>
      </c>
      <c r="L53" s="0" t="n">
        <v>105</v>
      </c>
      <c r="M53" s="0" t="n">
        <v>360248</v>
      </c>
      <c r="N53" s="0" t="n">
        <v>340506</v>
      </c>
      <c r="O53" s="0" t="n">
        <v>3.4</v>
      </c>
      <c r="P53" s="0" t="n">
        <v>2</v>
      </c>
    </row>
    <row r="54" customFormat="false" ht="15" hidden="false" customHeight="false" outlineLevel="0" collapsed="false">
      <c r="A54" s="0" t="s">
        <v>112</v>
      </c>
      <c r="B54" s="0" t="s">
        <v>82</v>
      </c>
      <c r="C54" s="0" t="s">
        <v>56</v>
      </c>
      <c r="D54" s="0" t="s">
        <v>41</v>
      </c>
      <c r="E54" s="0" t="s">
        <v>38</v>
      </c>
      <c r="F54" s="0" t="s">
        <v>42</v>
      </c>
      <c r="G54" s="16" t="n">
        <v>46022</v>
      </c>
      <c r="H54" s="0" t="n">
        <v>88</v>
      </c>
      <c r="I54" s="0" t="n">
        <v>22</v>
      </c>
      <c r="J54" s="0" t="n">
        <v>5</v>
      </c>
      <c r="K54" s="0" t="n">
        <v>126</v>
      </c>
      <c r="L54" s="0" t="n">
        <v>123</v>
      </c>
      <c r="M54" s="0" t="n">
        <v>160129</v>
      </c>
      <c r="N54" s="0" t="n">
        <v>141497</v>
      </c>
      <c r="O54" s="0" t="n">
        <v>4.4</v>
      </c>
      <c r="P54" s="0" t="n">
        <v>19</v>
      </c>
    </row>
    <row r="55" customFormat="false" ht="15" hidden="false" customHeight="false" outlineLevel="0" collapsed="false">
      <c r="A55" s="0" t="s">
        <v>113</v>
      </c>
      <c r="B55" s="0" t="s">
        <v>59</v>
      </c>
      <c r="C55" s="0" t="s">
        <v>27</v>
      </c>
      <c r="D55" s="0" t="s">
        <v>47</v>
      </c>
      <c r="E55" s="0" t="s">
        <v>38</v>
      </c>
      <c r="F55" s="0" t="s">
        <v>48</v>
      </c>
      <c r="G55" s="16" t="n">
        <v>44912</v>
      </c>
      <c r="H55" s="0" t="n">
        <v>98</v>
      </c>
      <c r="I55" s="0" t="n">
        <v>22</v>
      </c>
      <c r="J55" s="0" t="n">
        <v>2</v>
      </c>
      <c r="K55" s="0" t="n">
        <v>79</v>
      </c>
      <c r="L55" s="0" t="n">
        <v>58</v>
      </c>
      <c r="M55" s="0" t="n">
        <v>445672</v>
      </c>
      <c r="N55" s="0" t="n">
        <v>502542</v>
      </c>
      <c r="O55" s="0" t="n">
        <v>5</v>
      </c>
      <c r="P55" s="0" t="n">
        <v>10</v>
      </c>
    </row>
    <row r="56" customFormat="false" ht="15" hidden="false" customHeight="false" outlineLevel="0" collapsed="false">
      <c r="A56" s="0" t="s">
        <v>114</v>
      </c>
      <c r="B56" s="0" t="s">
        <v>106</v>
      </c>
      <c r="C56" s="0" t="s">
        <v>27</v>
      </c>
      <c r="D56" s="0" t="s">
        <v>41</v>
      </c>
      <c r="E56" s="0" t="s">
        <v>29</v>
      </c>
      <c r="F56" s="0" t="s">
        <v>35</v>
      </c>
      <c r="G56" s="16" t="n">
        <v>44591</v>
      </c>
      <c r="H56" s="0" t="n">
        <v>85</v>
      </c>
      <c r="I56" s="0" t="n">
        <v>22</v>
      </c>
      <c r="J56" s="0" t="n">
        <v>5</v>
      </c>
      <c r="K56" s="0" t="n">
        <v>92</v>
      </c>
      <c r="L56" s="0" t="n">
        <v>79</v>
      </c>
      <c r="M56" s="0" t="n">
        <v>839547</v>
      </c>
      <c r="N56" s="0" t="n">
        <v>966305</v>
      </c>
      <c r="O56" s="0" t="n">
        <v>5</v>
      </c>
      <c r="P56" s="0" t="n">
        <v>11</v>
      </c>
    </row>
    <row r="57" customFormat="false" ht="15" hidden="false" customHeight="false" outlineLevel="0" collapsed="false">
      <c r="A57" s="0" t="s">
        <v>115</v>
      </c>
      <c r="B57" s="0" t="s">
        <v>46</v>
      </c>
      <c r="C57" s="0" t="s">
        <v>56</v>
      </c>
      <c r="D57" s="0" t="s">
        <v>50</v>
      </c>
      <c r="E57" s="0" t="s">
        <v>29</v>
      </c>
      <c r="F57" s="0" t="s">
        <v>35</v>
      </c>
      <c r="G57" s="16" t="n">
        <v>44924</v>
      </c>
      <c r="H57" s="0" t="n">
        <v>95</v>
      </c>
      <c r="I57" s="0" t="n">
        <v>22</v>
      </c>
      <c r="J57" s="0" t="n">
        <v>4</v>
      </c>
      <c r="K57" s="0" t="n">
        <v>187</v>
      </c>
      <c r="L57" s="0" t="n">
        <v>167</v>
      </c>
      <c r="M57" s="0" t="n">
        <v>801131</v>
      </c>
      <c r="N57" s="0" t="n">
        <v>956240</v>
      </c>
      <c r="O57" s="0" t="n">
        <v>4.9</v>
      </c>
      <c r="P57" s="0" t="n">
        <v>6</v>
      </c>
    </row>
    <row r="58" customFormat="false" ht="15" hidden="false" customHeight="false" outlineLevel="0" collapsed="false">
      <c r="A58" s="0" t="s">
        <v>116</v>
      </c>
      <c r="B58" s="0" t="s">
        <v>32</v>
      </c>
      <c r="C58" s="0" t="s">
        <v>56</v>
      </c>
      <c r="D58" s="0" t="s">
        <v>50</v>
      </c>
      <c r="E58" s="0" t="s">
        <v>53</v>
      </c>
      <c r="F58" s="0" t="s">
        <v>42</v>
      </c>
      <c r="G58" s="16" t="n">
        <v>46132</v>
      </c>
      <c r="H58" s="0" t="n">
        <v>97</v>
      </c>
      <c r="I58" s="0" t="n">
        <v>22</v>
      </c>
      <c r="J58" s="0" t="n">
        <v>0</v>
      </c>
      <c r="K58" s="0" t="n">
        <v>119</v>
      </c>
      <c r="L58" s="0" t="n">
        <v>107</v>
      </c>
      <c r="M58" s="0" t="n">
        <v>857956</v>
      </c>
      <c r="N58" s="0" t="n">
        <v>814930</v>
      </c>
      <c r="O58" s="0" t="n">
        <v>4.8</v>
      </c>
      <c r="P58" s="0" t="n">
        <v>3</v>
      </c>
    </row>
    <row r="59" customFormat="false" ht="15" hidden="false" customHeight="false" outlineLevel="0" collapsed="false">
      <c r="A59" s="0" t="s">
        <v>117</v>
      </c>
      <c r="B59" s="0" t="s">
        <v>92</v>
      </c>
      <c r="C59" s="0" t="s">
        <v>27</v>
      </c>
      <c r="D59" s="0" t="s">
        <v>28</v>
      </c>
      <c r="E59" s="0" t="s">
        <v>53</v>
      </c>
      <c r="F59" s="0" t="s">
        <v>35</v>
      </c>
      <c r="G59" s="16" t="n">
        <v>44950</v>
      </c>
      <c r="H59" s="0" t="n">
        <v>95</v>
      </c>
      <c r="I59" s="0" t="n">
        <v>22</v>
      </c>
      <c r="J59" s="0" t="n">
        <v>4</v>
      </c>
      <c r="K59" s="0" t="n">
        <v>97</v>
      </c>
      <c r="L59" s="0" t="n">
        <v>96</v>
      </c>
      <c r="M59" s="0" t="n">
        <v>883305</v>
      </c>
      <c r="N59" s="0" t="n">
        <v>762485</v>
      </c>
      <c r="O59" s="0" t="n">
        <v>4.2</v>
      </c>
      <c r="P59" s="0" t="n">
        <v>3</v>
      </c>
    </row>
    <row r="60" customFormat="false" ht="15" hidden="false" customHeight="false" outlineLevel="0" collapsed="false">
      <c r="A60" s="0" t="s">
        <v>118</v>
      </c>
      <c r="B60" s="0" t="s">
        <v>79</v>
      </c>
      <c r="C60" s="0" t="s">
        <v>27</v>
      </c>
      <c r="D60" s="0" t="s">
        <v>28</v>
      </c>
      <c r="E60" s="0" t="s">
        <v>16</v>
      </c>
      <c r="F60" s="0" t="s">
        <v>30</v>
      </c>
      <c r="G60" s="16" t="n">
        <v>44813</v>
      </c>
      <c r="H60" s="0" t="n">
        <v>91</v>
      </c>
      <c r="I60" s="0" t="n">
        <v>22</v>
      </c>
      <c r="J60" s="0" t="n">
        <v>5</v>
      </c>
      <c r="K60" s="0" t="n">
        <v>120</v>
      </c>
      <c r="L60" s="0" t="n">
        <v>95</v>
      </c>
      <c r="M60" s="0" t="n">
        <v>336590</v>
      </c>
      <c r="N60" s="0" t="n">
        <v>249401</v>
      </c>
      <c r="O60" s="0" t="n">
        <v>3.4</v>
      </c>
      <c r="P60" s="0" t="n">
        <v>2</v>
      </c>
    </row>
    <row r="61" customFormat="false" ht="15" hidden="false" customHeight="false" outlineLevel="0" collapsed="false">
      <c r="A61" s="0" t="s">
        <v>119</v>
      </c>
      <c r="B61" s="0" t="s">
        <v>52</v>
      </c>
      <c r="C61" s="0" t="s">
        <v>27</v>
      </c>
      <c r="D61" s="0" t="s">
        <v>33</v>
      </c>
      <c r="E61" s="0" t="s">
        <v>38</v>
      </c>
      <c r="F61" s="0" t="s">
        <v>42</v>
      </c>
      <c r="G61" s="16" t="n">
        <v>45816</v>
      </c>
      <c r="H61" s="0" t="n">
        <v>88</v>
      </c>
      <c r="I61" s="0" t="n">
        <v>22</v>
      </c>
      <c r="J61" s="0" t="n">
        <v>3</v>
      </c>
      <c r="K61" s="0" t="n">
        <v>122</v>
      </c>
      <c r="L61" s="0" t="n">
        <v>80</v>
      </c>
      <c r="M61" s="0" t="n">
        <v>766354</v>
      </c>
      <c r="N61" s="0" t="n">
        <v>841061</v>
      </c>
      <c r="O61" s="0" t="n">
        <v>3.1</v>
      </c>
      <c r="P61" s="0" t="n">
        <v>13</v>
      </c>
    </row>
    <row r="62" customFormat="false" ht="15" hidden="false" customHeight="false" outlineLevel="0" collapsed="false">
      <c r="A62" s="0" t="s">
        <v>120</v>
      </c>
      <c r="B62" s="0" t="s">
        <v>70</v>
      </c>
      <c r="C62" s="0" t="s">
        <v>27</v>
      </c>
      <c r="D62" s="0" t="s">
        <v>50</v>
      </c>
      <c r="E62" s="0" t="s">
        <v>29</v>
      </c>
      <c r="F62" s="0" t="s">
        <v>30</v>
      </c>
      <c r="G62" s="16" t="n">
        <v>45691</v>
      </c>
      <c r="H62" s="0" t="n">
        <v>90</v>
      </c>
      <c r="I62" s="0" t="n">
        <v>22</v>
      </c>
      <c r="J62" s="0" t="n">
        <v>0</v>
      </c>
      <c r="K62" s="0" t="n">
        <v>73</v>
      </c>
      <c r="L62" s="0" t="n">
        <v>68</v>
      </c>
      <c r="M62" s="0" t="n">
        <v>788006</v>
      </c>
      <c r="N62" s="0" t="n">
        <v>930323</v>
      </c>
      <c r="O62" s="0" t="n">
        <v>4.5</v>
      </c>
      <c r="P62" s="0" t="n">
        <v>5</v>
      </c>
    </row>
    <row r="63" customFormat="false" ht="15" hidden="false" customHeight="false" outlineLevel="0" collapsed="false">
      <c r="A63" s="0" t="s">
        <v>121</v>
      </c>
      <c r="B63" s="0" t="s">
        <v>55</v>
      </c>
      <c r="C63" s="0" t="s">
        <v>56</v>
      </c>
      <c r="D63" s="0" t="s">
        <v>47</v>
      </c>
      <c r="E63" s="0" t="s">
        <v>16</v>
      </c>
      <c r="F63" s="0" t="s">
        <v>35</v>
      </c>
      <c r="G63" s="16" t="n">
        <v>45237</v>
      </c>
      <c r="H63" s="0" t="n">
        <v>100</v>
      </c>
      <c r="I63" s="0" t="n">
        <v>22</v>
      </c>
      <c r="J63" s="0" t="n">
        <v>4</v>
      </c>
      <c r="K63" s="0" t="n">
        <v>140</v>
      </c>
      <c r="L63" s="0" t="n">
        <v>92</v>
      </c>
      <c r="M63" s="0" t="n">
        <v>111987</v>
      </c>
      <c r="N63" s="0" t="n">
        <v>111438</v>
      </c>
      <c r="O63" s="0" t="n">
        <v>4.5</v>
      </c>
      <c r="P63" s="0" t="n">
        <v>16</v>
      </c>
    </row>
    <row r="64" customFormat="false" ht="15" hidden="false" customHeight="false" outlineLevel="0" collapsed="false">
      <c r="A64" s="0" t="s">
        <v>122</v>
      </c>
      <c r="B64" s="0" t="s">
        <v>52</v>
      </c>
      <c r="C64" s="0" t="s">
        <v>56</v>
      </c>
      <c r="D64" s="0" t="s">
        <v>41</v>
      </c>
      <c r="E64" s="0" t="s">
        <v>38</v>
      </c>
      <c r="F64" s="0" t="s">
        <v>30</v>
      </c>
      <c r="G64" s="16" t="n">
        <v>45822</v>
      </c>
      <c r="H64" s="0" t="n">
        <v>82</v>
      </c>
      <c r="I64" s="0" t="n">
        <v>22</v>
      </c>
      <c r="J64" s="0" t="n">
        <v>0</v>
      </c>
      <c r="K64" s="0" t="n">
        <v>71</v>
      </c>
      <c r="L64" s="0" t="n">
        <v>63</v>
      </c>
      <c r="M64" s="0" t="n">
        <v>408913</v>
      </c>
      <c r="N64" s="0" t="n">
        <v>369931</v>
      </c>
      <c r="O64" s="0" t="n">
        <v>4.2</v>
      </c>
      <c r="P64" s="0" t="n">
        <v>11</v>
      </c>
    </row>
    <row r="65" customFormat="false" ht="15" hidden="false" customHeight="false" outlineLevel="0" collapsed="false">
      <c r="A65" s="0" t="s">
        <v>123</v>
      </c>
      <c r="B65" s="0" t="s">
        <v>48</v>
      </c>
      <c r="C65" s="0" t="s">
        <v>56</v>
      </c>
      <c r="D65" s="0" t="s">
        <v>50</v>
      </c>
      <c r="E65" s="0" t="s">
        <v>38</v>
      </c>
      <c r="F65" s="0" t="s">
        <v>42</v>
      </c>
      <c r="G65" s="16" t="n">
        <v>45657</v>
      </c>
      <c r="H65" s="0" t="n">
        <v>93</v>
      </c>
      <c r="I65" s="0" t="n">
        <v>22</v>
      </c>
      <c r="J65" s="0" t="n">
        <v>2</v>
      </c>
      <c r="K65" s="0" t="n">
        <v>151</v>
      </c>
      <c r="L65" s="0" t="n">
        <v>124</v>
      </c>
      <c r="M65" s="0" t="n">
        <v>114481</v>
      </c>
      <c r="N65" s="0" t="n">
        <v>89471</v>
      </c>
      <c r="O65" s="0" t="n">
        <v>4.4</v>
      </c>
      <c r="P65" s="0" t="n">
        <v>20</v>
      </c>
    </row>
    <row r="66" customFormat="false" ht="15" hidden="false" customHeight="false" outlineLevel="0" collapsed="false">
      <c r="A66" s="0" t="s">
        <v>124</v>
      </c>
      <c r="B66" s="0" t="s">
        <v>52</v>
      </c>
      <c r="C66" s="0" t="s">
        <v>27</v>
      </c>
      <c r="D66" s="0" t="s">
        <v>41</v>
      </c>
      <c r="E66" s="0" t="s">
        <v>38</v>
      </c>
      <c r="F66" s="0" t="s">
        <v>35</v>
      </c>
      <c r="G66" s="16" t="n">
        <v>45314</v>
      </c>
      <c r="H66" s="0" t="n">
        <v>89</v>
      </c>
      <c r="I66" s="0" t="n">
        <v>22</v>
      </c>
      <c r="J66" s="0" t="n">
        <v>0</v>
      </c>
      <c r="K66" s="0" t="n">
        <v>131</v>
      </c>
      <c r="L66" s="0" t="n">
        <v>129</v>
      </c>
      <c r="M66" s="0" t="n">
        <v>512591</v>
      </c>
      <c r="N66" s="0" t="n">
        <v>570218</v>
      </c>
      <c r="O66" s="0" t="n">
        <v>4.9</v>
      </c>
      <c r="P66" s="0" t="n">
        <v>20</v>
      </c>
    </row>
    <row r="67" customFormat="false" ht="15" hidden="false" customHeight="false" outlineLevel="0" collapsed="false">
      <c r="A67" s="0" t="s">
        <v>125</v>
      </c>
      <c r="B67" s="0" t="s">
        <v>74</v>
      </c>
      <c r="C67" s="0" t="s">
        <v>56</v>
      </c>
      <c r="D67" s="0" t="s">
        <v>33</v>
      </c>
      <c r="E67" s="0" t="s">
        <v>38</v>
      </c>
      <c r="F67" s="0" t="s">
        <v>42</v>
      </c>
      <c r="G67" s="16" t="n">
        <v>45455</v>
      </c>
      <c r="H67" s="0" t="n">
        <v>83</v>
      </c>
      <c r="I67" s="0" t="n">
        <v>22</v>
      </c>
      <c r="J67" s="0" t="n">
        <v>0</v>
      </c>
      <c r="K67" s="0" t="n">
        <v>174</v>
      </c>
      <c r="L67" s="0" t="n">
        <v>159</v>
      </c>
      <c r="M67" s="0" t="n">
        <v>485812</v>
      </c>
      <c r="N67" s="0" t="n">
        <v>451908</v>
      </c>
      <c r="O67" s="0" t="n">
        <v>4.9</v>
      </c>
      <c r="P67" s="0" t="n">
        <v>5</v>
      </c>
    </row>
    <row r="68" customFormat="false" ht="15" hidden="false" customHeight="false" outlineLevel="0" collapsed="false">
      <c r="A68" s="0" t="s">
        <v>126</v>
      </c>
      <c r="B68" s="0" t="s">
        <v>70</v>
      </c>
      <c r="C68" s="0" t="s">
        <v>56</v>
      </c>
      <c r="D68" s="0" t="s">
        <v>41</v>
      </c>
      <c r="E68" s="0" t="s">
        <v>53</v>
      </c>
      <c r="F68" s="0" t="s">
        <v>48</v>
      </c>
      <c r="G68" s="16" t="n">
        <v>45206</v>
      </c>
      <c r="H68" s="0" t="n">
        <v>94</v>
      </c>
      <c r="I68" s="0" t="n">
        <v>22</v>
      </c>
      <c r="J68" s="0" t="n">
        <v>1</v>
      </c>
      <c r="K68" s="0" t="n">
        <v>80</v>
      </c>
      <c r="L68" s="0" t="n">
        <v>70</v>
      </c>
      <c r="M68" s="0" t="n">
        <v>933581</v>
      </c>
      <c r="N68" s="0" t="n">
        <v>1014351</v>
      </c>
      <c r="O68" s="0" t="n">
        <v>3.5</v>
      </c>
      <c r="P68" s="0" t="n">
        <v>18</v>
      </c>
    </row>
    <row r="69" customFormat="false" ht="15" hidden="false" customHeight="false" outlineLevel="0" collapsed="false">
      <c r="A69" s="0" t="s">
        <v>127</v>
      </c>
      <c r="B69" s="0" t="s">
        <v>77</v>
      </c>
      <c r="C69" s="0" t="s">
        <v>56</v>
      </c>
      <c r="D69" s="0" t="s">
        <v>47</v>
      </c>
      <c r="E69" s="0" t="s">
        <v>38</v>
      </c>
      <c r="F69" s="0" t="s">
        <v>48</v>
      </c>
      <c r="G69" s="16" t="n">
        <v>45967</v>
      </c>
      <c r="H69" s="0" t="n">
        <v>80</v>
      </c>
      <c r="I69" s="0" t="n">
        <v>22</v>
      </c>
      <c r="J69" s="0" t="n">
        <v>0</v>
      </c>
      <c r="K69" s="0" t="n">
        <v>173</v>
      </c>
      <c r="L69" s="0" t="n">
        <v>118</v>
      </c>
      <c r="M69" s="0" t="n">
        <v>123209</v>
      </c>
      <c r="N69" s="0" t="n">
        <v>130724</v>
      </c>
      <c r="O69" s="0" t="n">
        <v>4.8</v>
      </c>
      <c r="P69" s="0" t="n">
        <v>11</v>
      </c>
    </row>
    <row r="70" customFormat="false" ht="15" hidden="false" customHeight="false" outlineLevel="0" collapsed="false">
      <c r="A70" s="0" t="s">
        <v>128</v>
      </c>
      <c r="B70" s="0" t="s">
        <v>106</v>
      </c>
      <c r="C70" s="0" t="s">
        <v>27</v>
      </c>
      <c r="D70" s="0" t="s">
        <v>41</v>
      </c>
      <c r="E70" s="0" t="s">
        <v>16</v>
      </c>
      <c r="F70" s="0" t="s">
        <v>30</v>
      </c>
      <c r="G70" s="16" t="n">
        <v>46056</v>
      </c>
      <c r="H70" s="0" t="n">
        <v>96</v>
      </c>
      <c r="I70" s="0" t="n">
        <v>22</v>
      </c>
      <c r="J70" s="0" t="n">
        <v>2</v>
      </c>
      <c r="K70" s="0" t="n">
        <v>149</v>
      </c>
      <c r="L70" s="0" t="n">
        <v>137</v>
      </c>
      <c r="M70" s="0" t="n">
        <v>968902</v>
      </c>
      <c r="N70" s="0" t="n">
        <v>705703</v>
      </c>
      <c r="O70" s="0" t="n">
        <v>4.3</v>
      </c>
      <c r="P70" s="0" t="n">
        <v>9</v>
      </c>
    </row>
    <row r="71" customFormat="false" ht="15" hidden="false" customHeight="false" outlineLevel="0" collapsed="false">
      <c r="A71" s="0" t="s">
        <v>129</v>
      </c>
      <c r="B71" s="0" t="s">
        <v>46</v>
      </c>
      <c r="C71" s="0" t="s">
        <v>27</v>
      </c>
      <c r="D71" s="0" t="s">
        <v>50</v>
      </c>
      <c r="E71" s="0" t="s">
        <v>34</v>
      </c>
      <c r="F71" s="0" t="s">
        <v>35</v>
      </c>
      <c r="G71" s="16" t="n">
        <v>44822</v>
      </c>
      <c r="H71" s="0" t="n">
        <v>80</v>
      </c>
      <c r="I71" s="0" t="n">
        <v>22</v>
      </c>
      <c r="J71" s="0" t="n">
        <v>5</v>
      </c>
      <c r="K71" s="0" t="n">
        <v>74</v>
      </c>
      <c r="L71" s="0" t="n">
        <v>61</v>
      </c>
      <c r="M71" s="0" t="n">
        <v>702549</v>
      </c>
      <c r="N71" s="0" t="n">
        <v>812068</v>
      </c>
      <c r="O71" s="0" t="n">
        <v>4.1</v>
      </c>
      <c r="P71" s="0" t="n">
        <v>16</v>
      </c>
    </row>
    <row r="72" customFormat="false" ht="15" hidden="false" customHeight="false" outlineLevel="0" collapsed="false">
      <c r="A72" s="0" t="s">
        <v>130</v>
      </c>
      <c r="B72" s="0" t="s">
        <v>32</v>
      </c>
      <c r="C72" s="0" t="s">
        <v>56</v>
      </c>
      <c r="D72" s="0" t="s">
        <v>33</v>
      </c>
      <c r="E72" s="0" t="s">
        <v>38</v>
      </c>
      <c r="F72" s="0" t="s">
        <v>80</v>
      </c>
      <c r="G72" s="16" t="n">
        <v>46003</v>
      </c>
      <c r="H72" s="0" t="n">
        <v>95</v>
      </c>
      <c r="I72" s="0" t="n">
        <v>22</v>
      </c>
      <c r="J72" s="0" t="n">
        <v>2</v>
      </c>
      <c r="K72" s="0" t="n">
        <v>186</v>
      </c>
      <c r="L72" s="0" t="n">
        <v>112</v>
      </c>
      <c r="M72" s="0" t="n">
        <v>585213</v>
      </c>
      <c r="N72" s="0" t="n">
        <v>484223</v>
      </c>
      <c r="O72" s="0" t="n">
        <v>3.7</v>
      </c>
      <c r="P72" s="0" t="n">
        <v>4</v>
      </c>
    </row>
    <row r="73" customFormat="false" ht="15" hidden="false" customHeight="false" outlineLevel="0" collapsed="false">
      <c r="A73" s="0" t="s">
        <v>131</v>
      </c>
      <c r="B73" s="0" t="s">
        <v>44</v>
      </c>
      <c r="C73" s="0" t="s">
        <v>27</v>
      </c>
      <c r="D73" s="0" t="s">
        <v>50</v>
      </c>
      <c r="E73" s="0" t="s">
        <v>29</v>
      </c>
      <c r="F73" s="0" t="s">
        <v>35</v>
      </c>
      <c r="G73" s="16" t="n">
        <v>45474</v>
      </c>
      <c r="H73" s="0" t="n">
        <v>83</v>
      </c>
      <c r="I73" s="0" t="n">
        <v>22</v>
      </c>
      <c r="J73" s="0" t="n">
        <v>2</v>
      </c>
      <c r="K73" s="0" t="n">
        <v>84</v>
      </c>
      <c r="L73" s="0" t="n">
        <v>77</v>
      </c>
      <c r="M73" s="0" t="n">
        <v>984601</v>
      </c>
      <c r="N73" s="0" t="n">
        <v>1037968</v>
      </c>
      <c r="O73" s="0" t="n">
        <v>4.3</v>
      </c>
      <c r="P73" s="0" t="n">
        <v>11</v>
      </c>
    </row>
    <row r="74" customFormat="false" ht="15" hidden="false" customHeight="false" outlineLevel="0" collapsed="false">
      <c r="A74" s="0" t="s">
        <v>132</v>
      </c>
      <c r="B74" s="0" t="s">
        <v>106</v>
      </c>
      <c r="C74" s="0" t="s">
        <v>27</v>
      </c>
      <c r="D74" s="0" t="s">
        <v>41</v>
      </c>
      <c r="E74" s="0" t="s">
        <v>29</v>
      </c>
      <c r="F74" s="0" t="s">
        <v>48</v>
      </c>
      <c r="G74" s="16" t="n">
        <v>45846</v>
      </c>
      <c r="H74" s="0" t="n">
        <v>95</v>
      </c>
      <c r="I74" s="0" t="n">
        <v>22</v>
      </c>
      <c r="J74" s="0" t="n">
        <v>1</v>
      </c>
      <c r="K74" s="0" t="n">
        <v>90</v>
      </c>
      <c r="L74" s="0" t="n">
        <v>80</v>
      </c>
      <c r="M74" s="0" t="n">
        <v>249591</v>
      </c>
      <c r="N74" s="0" t="n">
        <v>215285</v>
      </c>
      <c r="O74" s="0" t="n">
        <v>4.2</v>
      </c>
      <c r="P74" s="0" t="n">
        <v>4</v>
      </c>
    </row>
    <row r="75" customFormat="false" ht="15" hidden="false" customHeight="false" outlineLevel="0" collapsed="false">
      <c r="A75" s="0" t="s">
        <v>133</v>
      </c>
      <c r="B75" s="0" t="s">
        <v>62</v>
      </c>
      <c r="C75" s="0" t="s">
        <v>56</v>
      </c>
      <c r="D75" s="0" t="s">
        <v>33</v>
      </c>
      <c r="E75" s="0" t="s">
        <v>29</v>
      </c>
      <c r="F75" s="0" t="s">
        <v>30</v>
      </c>
      <c r="G75" s="16" t="n">
        <v>45296</v>
      </c>
      <c r="H75" s="0" t="n">
        <v>93</v>
      </c>
      <c r="I75" s="0" t="n">
        <v>22</v>
      </c>
      <c r="J75" s="0" t="n">
        <v>0</v>
      </c>
      <c r="K75" s="0" t="n">
        <v>172</v>
      </c>
      <c r="L75" s="0" t="n">
        <v>171</v>
      </c>
      <c r="M75" s="0" t="n">
        <v>914904</v>
      </c>
      <c r="N75" s="0" t="n">
        <v>658499</v>
      </c>
      <c r="O75" s="0" t="n">
        <v>3.7</v>
      </c>
      <c r="P75" s="0" t="n">
        <v>10</v>
      </c>
    </row>
    <row r="76" customFormat="false" ht="15" hidden="false" customHeight="false" outlineLevel="0" collapsed="false">
      <c r="A76" s="0" t="s">
        <v>134</v>
      </c>
      <c r="B76" s="0" t="s">
        <v>74</v>
      </c>
      <c r="C76" s="0" t="s">
        <v>27</v>
      </c>
      <c r="D76" s="0" t="s">
        <v>33</v>
      </c>
      <c r="E76" s="0" t="s">
        <v>38</v>
      </c>
      <c r="F76" s="0" t="s">
        <v>48</v>
      </c>
      <c r="G76" s="16" t="n">
        <v>44999</v>
      </c>
      <c r="H76" s="0" t="n">
        <v>89</v>
      </c>
      <c r="I76" s="0" t="n">
        <v>22</v>
      </c>
      <c r="J76" s="0" t="n">
        <v>1</v>
      </c>
      <c r="K76" s="0" t="n">
        <v>177</v>
      </c>
      <c r="L76" s="0" t="n">
        <v>165</v>
      </c>
      <c r="M76" s="0" t="n">
        <v>222314</v>
      </c>
      <c r="N76" s="0" t="n">
        <v>196277</v>
      </c>
      <c r="O76" s="0" t="n">
        <v>4.3</v>
      </c>
      <c r="P76" s="0" t="n">
        <v>15</v>
      </c>
    </row>
    <row r="77" customFormat="false" ht="15" hidden="false" customHeight="false" outlineLevel="0" collapsed="false">
      <c r="A77" s="0" t="s">
        <v>135</v>
      </c>
      <c r="B77" s="0" t="s">
        <v>26</v>
      </c>
      <c r="C77" s="0" t="s">
        <v>27</v>
      </c>
      <c r="D77" s="0" t="s">
        <v>28</v>
      </c>
      <c r="E77" s="0" t="s">
        <v>16</v>
      </c>
      <c r="F77" s="0" t="s">
        <v>35</v>
      </c>
      <c r="G77" s="16" t="n">
        <v>44884</v>
      </c>
      <c r="H77" s="0" t="n">
        <v>88</v>
      </c>
      <c r="I77" s="0" t="n">
        <v>22</v>
      </c>
      <c r="J77" s="0" t="n">
        <v>2</v>
      </c>
      <c r="K77" s="0" t="n">
        <v>189</v>
      </c>
      <c r="L77" s="0" t="n">
        <v>141</v>
      </c>
      <c r="M77" s="0" t="n">
        <v>796193</v>
      </c>
      <c r="N77" s="0" t="n">
        <v>713987</v>
      </c>
      <c r="O77" s="0" t="n">
        <v>4.6</v>
      </c>
      <c r="P77" s="0" t="n">
        <v>7</v>
      </c>
    </row>
    <row r="78" customFormat="false" ht="15" hidden="false" customHeight="false" outlineLevel="0" collapsed="false">
      <c r="A78" s="0" t="s">
        <v>136</v>
      </c>
      <c r="B78" s="0" t="s">
        <v>59</v>
      </c>
      <c r="C78" s="0" t="s">
        <v>27</v>
      </c>
      <c r="D78" s="0" t="s">
        <v>41</v>
      </c>
      <c r="E78" s="0" t="s">
        <v>38</v>
      </c>
      <c r="F78" s="0" t="s">
        <v>80</v>
      </c>
      <c r="G78" s="16" t="n">
        <v>45981</v>
      </c>
      <c r="H78" s="0" t="n">
        <v>95</v>
      </c>
      <c r="I78" s="0" t="n">
        <v>22</v>
      </c>
      <c r="J78" s="0" t="n">
        <v>3</v>
      </c>
      <c r="K78" s="0" t="n">
        <v>89</v>
      </c>
      <c r="L78" s="0" t="n">
        <v>70</v>
      </c>
      <c r="M78" s="0" t="n">
        <v>905471</v>
      </c>
      <c r="N78" s="0" t="n">
        <v>915692</v>
      </c>
      <c r="O78" s="0" t="n">
        <v>4.9</v>
      </c>
      <c r="P78" s="0" t="n">
        <v>8</v>
      </c>
    </row>
    <row r="79" customFormat="false" ht="15" hidden="false" customHeight="false" outlineLevel="0" collapsed="false">
      <c r="A79" s="0" t="s">
        <v>137</v>
      </c>
      <c r="B79" s="0" t="s">
        <v>59</v>
      </c>
      <c r="C79" s="0" t="s">
        <v>56</v>
      </c>
      <c r="D79" s="0" t="s">
        <v>28</v>
      </c>
      <c r="E79" s="0" t="s">
        <v>38</v>
      </c>
      <c r="F79" s="0" t="s">
        <v>42</v>
      </c>
      <c r="G79" s="16" t="n">
        <v>45348</v>
      </c>
      <c r="H79" s="0" t="n">
        <v>95</v>
      </c>
      <c r="I79" s="0" t="n">
        <v>22</v>
      </c>
      <c r="J79" s="0" t="n">
        <v>4</v>
      </c>
      <c r="K79" s="0" t="n">
        <v>68</v>
      </c>
      <c r="L79" s="0" t="n">
        <v>53</v>
      </c>
      <c r="M79" s="0" t="n">
        <v>821855</v>
      </c>
      <c r="N79" s="0" t="n">
        <v>863509</v>
      </c>
      <c r="O79" s="0" t="n">
        <v>4.9</v>
      </c>
      <c r="P79" s="0" t="n">
        <v>19</v>
      </c>
    </row>
    <row r="80" customFormat="false" ht="15" hidden="false" customHeight="false" outlineLevel="0" collapsed="false">
      <c r="A80" s="0" t="s">
        <v>138</v>
      </c>
      <c r="B80" s="0" t="s">
        <v>74</v>
      </c>
      <c r="C80" s="0" t="s">
        <v>56</v>
      </c>
      <c r="D80" s="0" t="s">
        <v>50</v>
      </c>
      <c r="E80" s="0" t="s">
        <v>38</v>
      </c>
      <c r="F80" s="0" t="s">
        <v>80</v>
      </c>
      <c r="G80" s="16" t="n">
        <v>44750</v>
      </c>
      <c r="H80" s="0" t="n">
        <v>96</v>
      </c>
      <c r="I80" s="0" t="n">
        <v>22</v>
      </c>
      <c r="J80" s="0" t="n">
        <v>4</v>
      </c>
      <c r="K80" s="0" t="n">
        <v>121</v>
      </c>
      <c r="L80" s="0" t="n">
        <v>73</v>
      </c>
      <c r="M80" s="0" t="n">
        <v>229506</v>
      </c>
      <c r="N80" s="0" t="n">
        <v>194162</v>
      </c>
      <c r="O80" s="0" t="n">
        <v>4.3</v>
      </c>
      <c r="P80" s="0" t="n">
        <v>7</v>
      </c>
    </row>
    <row r="81" customFormat="false" ht="15" hidden="false" customHeight="false" outlineLevel="0" collapsed="false">
      <c r="A81" s="0" t="s">
        <v>139</v>
      </c>
      <c r="B81" s="0" t="s">
        <v>74</v>
      </c>
      <c r="C81" s="0" t="s">
        <v>56</v>
      </c>
      <c r="D81" s="0" t="s">
        <v>41</v>
      </c>
      <c r="E81" s="0" t="s">
        <v>34</v>
      </c>
      <c r="F81" s="0" t="s">
        <v>35</v>
      </c>
      <c r="G81" s="16" t="n">
        <v>45471</v>
      </c>
      <c r="H81" s="0" t="n">
        <v>82</v>
      </c>
      <c r="I81" s="0" t="n">
        <v>22</v>
      </c>
      <c r="J81" s="0" t="n">
        <v>2</v>
      </c>
      <c r="K81" s="0" t="n">
        <v>110</v>
      </c>
      <c r="L81" s="0" t="n">
        <v>87</v>
      </c>
      <c r="M81" s="0" t="n">
        <v>391568</v>
      </c>
      <c r="N81" s="0" t="n">
        <v>374735</v>
      </c>
      <c r="O81" s="0" t="n">
        <v>4.3</v>
      </c>
      <c r="P81" s="0" t="n">
        <v>13</v>
      </c>
    </row>
    <row r="82" customFormat="false" ht="15" hidden="false" customHeight="false" outlineLevel="0" collapsed="false">
      <c r="A82" s="0" t="s">
        <v>140</v>
      </c>
      <c r="B82" s="0" t="s">
        <v>52</v>
      </c>
      <c r="C82" s="0" t="s">
        <v>56</v>
      </c>
      <c r="D82" s="0" t="s">
        <v>50</v>
      </c>
      <c r="E82" s="0" t="s">
        <v>16</v>
      </c>
      <c r="F82" s="0" t="s">
        <v>30</v>
      </c>
      <c r="G82" s="16" t="n">
        <v>45939</v>
      </c>
      <c r="H82" s="0" t="n">
        <v>82</v>
      </c>
      <c r="I82" s="0" t="n">
        <v>22</v>
      </c>
      <c r="J82" s="0" t="n">
        <v>2</v>
      </c>
      <c r="K82" s="0" t="n">
        <v>102</v>
      </c>
      <c r="L82" s="0" t="n">
        <v>94</v>
      </c>
      <c r="M82" s="0" t="n">
        <v>808778</v>
      </c>
      <c r="N82" s="0" t="n">
        <v>570449</v>
      </c>
      <c r="O82" s="0" t="n">
        <v>3.1</v>
      </c>
      <c r="P82" s="0" t="n">
        <v>1</v>
      </c>
    </row>
    <row r="83" customFormat="false" ht="15" hidden="false" customHeight="false" outlineLevel="0" collapsed="false">
      <c r="A83" s="0" t="s">
        <v>141</v>
      </c>
      <c r="B83" s="0" t="s">
        <v>72</v>
      </c>
      <c r="C83" s="0" t="s">
        <v>27</v>
      </c>
      <c r="D83" s="0" t="s">
        <v>28</v>
      </c>
      <c r="E83" s="0" t="s">
        <v>29</v>
      </c>
      <c r="F83" s="0" t="s">
        <v>80</v>
      </c>
      <c r="G83" s="16" t="n">
        <v>45083</v>
      </c>
      <c r="H83" s="0" t="n">
        <v>96</v>
      </c>
      <c r="I83" s="0" t="n">
        <v>22</v>
      </c>
      <c r="J83" s="0" t="n">
        <v>1</v>
      </c>
      <c r="K83" s="0" t="n">
        <v>94</v>
      </c>
      <c r="L83" s="0" t="n">
        <v>84</v>
      </c>
      <c r="M83" s="0" t="n">
        <v>187902</v>
      </c>
      <c r="N83" s="0" t="n">
        <v>162296</v>
      </c>
      <c r="O83" s="0" t="n">
        <v>3.9</v>
      </c>
      <c r="P83" s="0" t="n">
        <v>16</v>
      </c>
    </row>
    <row r="84" customFormat="false" ht="15" hidden="false" customHeight="false" outlineLevel="0" collapsed="false">
      <c r="A84" s="0" t="s">
        <v>142</v>
      </c>
      <c r="B84" s="0" t="s">
        <v>48</v>
      </c>
      <c r="C84" s="0" t="s">
        <v>27</v>
      </c>
      <c r="D84" s="0" t="s">
        <v>47</v>
      </c>
      <c r="E84" s="0" t="s">
        <v>34</v>
      </c>
      <c r="F84" s="0" t="s">
        <v>35</v>
      </c>
      <c r="G84" s="16" t="n">
        <v>46076</v>
      </c>
      <c r="H84" s="0" t="n">
        <v>85</v>
      </c>
      <c r="I84" s="0" t="n">
        <v>22</v>
      </c>
      <c r="J84" s="0" t="n">
        <v>5</v>
      </c>
      <c r="K84" s="0" t="n">
        <v>151</v>
      </c>
      <c r="L84" s="0" t="n">
        <v>109</v>
      </c>
      <c r="M84" s="0" t="n">
        <v>178774</v>
      </c>
      <c r="N84" s="0" t="n">
        <v>201149</v>
      </c>
      <c r="O84" s="0" t="n">
        <v>4.2</v>
      </c>
      <c r="P84" s="0" t="n">
        <v>14</v>
      </c>
    </row>
    <row r="85" customFormat="false" ht="15" hidden="false" customHeight="false" outlineLevel="0" collapsed="false">
      <c r="A85" s="0" t="s">
        <v>143</v>
      </c>
      <c r="B85" s="0" t="s">
        <v>82</v>
      </c>
      <c r="C85" s="0" t="s">
        <v>27</v>
      </c>
      <c r="D85" s="0" t="s">
        <v>28</v>
      </c>
      <c r="E85" s="0" t="s">
        <v>29</v>
      </c>
      <c r="F85" s="0" t="s">
        <v>35</v>
      </c>
      <c r="G85" s="16" t="n">
        <v>46051</v>
      </c>
      <c r="H85" s="0" t="n">
        <v>83</v>
      </c>
      <c r="I85" s="0" t="n">
        <v>22</v>
      </c>
      <c r="J85" s="0" t="n">
        <v>2</v>
      </c>
      <c r="K85" s="0" t="n">
        <v>171</v>
      </c>
      <c r="L85" s="0" t="n">
        <v>165</v>
      </c>
      <c r="M85" s="0" t="n">
        <v>856970</v>
      </c>
      <c r="N85" s="0" t="n">
        <v>901931</v>
      </c>
      <c r="O85" s="0" t="n">
        <v>3.8</v>
      </c>
      <c r="P85" s="0" t="n">
        <v>11</v>
      </c>
    </row>
    <row r="86" customFormat="false" ht="15" hidden="false" customHeight="false" outlineLevel="0" collapsed="false">
      <c r="A86" s="0" t="s">
        <v>144</v>
      </c>
      <c r="B86" s="0" t="s">
        <v>92</v>
      </c>
      <c r="C86" s="0" t="s">
        <v>56</v>
      </c>
      <c r="D86" s="0" t="s">
        <v>33</v>
      </c>
      <c r="E86" s="0" t="s">
        <v>38</v>
      </c>
      <c r="F86" s="0" t="s">
        <v>35</v>
      </c>
      <c r="G86" s="16" t="n">
        <v>44942</v>
      </c>
      <c r="H86" s="0" t="n">
        <v>99</v>
      </c>
      <c r="I86" s="0" t="n">
        <v>22</v>
      </c>
      <c r="J86" s="0" t="n">
        <v>3</v>
      </c>
      <c r="K86" s="0" t="n">
        <v>138</v>
      </c>
      <c r="L86" s="0" t="n">
        <v>134</v>
      </c>
      <c r="M86" s="0" t="n">
        <v>858706</v>
      </c>
      <c r="N86" s="0" t="n">
        <v>1018471</v>
      </c>
      <c r="O86" s="0" t="n">
        <v>3.7</v>
      </c>
      <c r="P86" s="0" t="n">
        <v>11</v>
      </c>
    </row>
    <row r="87" customFormat="false" ht="15" hidden="false" customHeight="false" outlineLevel="0" collapsed="false">
      <c r="A87" s="0" t="s">
        <v>145</v>
      </c>
      <c r="B87" s="0" t="s">
        <v>44</v>
      </c>
      <c r="C87" s="0" t="s">
        <v>56</v>
      </c>
      <c r="D87" s="0" t="s">
        <v>28</v>
      </c>
      <c r="E87" s="0" t="s">
        <v>34</v>
      </c>
      <c r="F87" s="0" t="s">
        <v>30</v>
      </c>
      <c r="G87" s="16" t="n">
        <v>44685</v>
      </c>
      <c r="H87" s="0" t="n">
        <v>86</v>
      </c>
      <c r="I87" s="0" t="n">
        <v>22</v>
      </c>
      <c r="J87" s="0" t="n">
        <v>2</v>
      </c>
      <c r="K87" s="0" t="n">
        <v>108</v>
      </c>
      <c r="L87" s="0" t="n">
        <v>67</v>
      </c>
      <c r="M87" s="0" t="n">
        <v>413024</v>
      </c>
      <c r="N87" s="0" t="n">
        <v>484947</v>
      </c>
      <c r="O87" s="0" t="n">
        <v>3.6</v>
      </c>
      <c r="P87" s="0" t="n">
        <v>2</v>
      </c>
    </row>
    <row r="88" customFormat="false" ht="15" hidden="false" customHeight="false" outlineLevel="0" collapsed="false">
      <c r="A88" s="0" t="s">
        <v>146</v>
      </c>
      <c r="B88" s="0" t="s">
        <v>70</v>
      </c>
      <c r="C88" s="0" t="s">
        <v>27</v>
      </c>
      <c r="D88" s="0" t="s">
        <v>28</v>
      </c>
      <c r="E88" s="0" t="s">
        <v>38</v>
      </c>
      <c r="F88" s="0" t="s">
        <v>30</v>
      </c>
      <c r="G88" s="16" t="n">
        <v>45071</v>
      </c>
      <c r="H88" s="0" t="n">
        <v>100</v>
      </c>
      <c r="I88" s="0" t="n">
        <v>22</v>
      </c>
      <c r="J88" s="0" t="n">
        <v>0</v>
      </c>
      <c r="K88" s="0" t="n">
        <v>175</v>
      </c>
      <c r="L88" s="0" t="n">
        <v>150</v>
      </c>
      <c r="M88" s="0" t="n">
        <v>841128</v>
      </c>
      <c r="N88" s="0" t="n">
        <v>645892</v>
      </c>
      <c r="O88" s="0" t="n">
        <v>3.1</v>
      </c>
      <c r="P88" s="0" t="n">
        <v>9</v>
      </c>
    </row>
    <row r="89" customFormat="false" ht="15" hidden="false" customHeight="false" outlineLevel="0" collapsed="false">
      <c r="A89" s="0" t="s">
        <v>147</v>
      </c>
      <c r="B89" s="0" t="s">
        <v>44</v>
      </c>
      <c r="C89" s="0" t="s">
        <v>56</v>
      </c>
      <c r="D89" s="0" t="s">
        <v>33</v>
      </c>
      <c r="E89" s="0" t="s">
        <v>38</v>
      </c>
      <c r="F89" s="0" t="s">
        <v>30</v>
      </c>
      <c r="G89" s="16" t="n">
        <v>45006</v>
      </c>
      <c r="H89" s="0" t="n">
        <v>95</v>
      </c>
      <c r="I89" s="0" t="n">
        <v>22</v>
      </c>
      <c r="J89" s="0" t="n">
        <v>5</v>
      </c>
      <c r="K89" s="0" t="n">
        <v>190</v>
      </c>
      <c r="L89" s="0" t="n">
        <v>139</v>
      </c>
      <c r="M89" s="0" t="n">
        <v>673829</v>
      </c>
      <c r="N89" s="0" t="n">
        <v>775389</v>
      </c>
      <c r="O89" s="0" t="n">
        <v>3.2</v>
      </c>
      <c r="P89" s="0" t="n">
        <v>13</v>
      </c>
    </row>
    <row r="90" customFormat="false" ht="15" hidden="false" customHeight="false" outlineLevel="0" collapsed="false">
      <c r="A90" s="0" t="s">
        <v>148</v>
      </c>
      <c r="B90" s="0" t="s">
        <v>59</v>
      </c>
      <c r="C90" s="0" t="s">
        <v>56</v>
      </c>
      <c r="D90" s="0" t="s">
        <v>28</v>
      </c>
      <c r="E90" s="0" t="s">
        <v>53</v>
      </c>
      <c r="F90" s="0" t="s">
        <v>42</v>
      </c>
      <c r="G90" s="16" t="n">
        <v>45091</v>
      </c>
      <c r="H90" s="0" t="n">
        <v>89</v>
      </c>
      <c r="I90" s="0" t="n">
        <v>22</v>
      </c>
      <c r="J90" s="0" t="n">
        <v>2</v>
      </c>
      <c r="K90" s="0" t="n">
        <v>115</v>
      </c>
      <c r="L90" s="0" t="n">
        <v>92</v>
      </c>
      <c r="M90" s="0" t="n">
        <v>731434</v>
      </c>
      <c r="N90" s="0" t="n">
        <v>749045</v>
      </c>
      <c r="O90" s="0" t="n">
        <v>4.1</v>
      </c>
      <c r="P90" s="0" t="n">
        <v>3</v>
      </c>
    </row>
    <row r="91" customFormat="false" ht="15" hidden="false" customHeight="false" outlineLevel="0" collapsed="false">
      <c r="A91" s="0" t="s">
        <v>149</v>
      </c>
      <c r="B91" s="0" t="s">
        <v>79</v>
      </c>
      <c r="C91" s="0" t="s">
        <v>56</v>
      </c>
      <c r="D91" s="0" t="s">
        <v>28</v>
      </c>
      <c r="E91" s="0" t="s">
        <v>34</v>
      </c>
      <c r="F91" s="0" t="s">
        <v>48</v>
      </c>
      <c r="G91" s="16" t="n">
        <v>46073</v>
      </c>
      <c r="H91" s="0" t="n">
        <v>81</v>
      </c>
      <c r="I91" s="0" t="n">
        <v>22</v>
      </c>
      <c r="J91" s="0" t="n">
        <v>0</v>
      </c>
      <c r="K91" s="0" t="n">
        <v>67</v>
      </c>
      <c r="L91" s="0" t="n">
        <v>41</v>
      </c>
      <c r="M91" s="0" t="n">
        <v>997199</v>
      </c>
      <c r="N91" s="0" t="n">
        <v>979195</v>
      </c>
      <c r="O91" s="0" t="n">
        <v>3.5</v>
      </c>
      <c r="P91" s="0" t="n">
        <v>7</v>
      </c>
    </row>
    <row r="92" customFormat="false" ht="15" hidden="false" customHeight="false" outlineLevel="0" collapsed="false">
      <c r="A92" s="0" t="s">
        <v>150</v>
      </c>
      <c r="B92" s="0" t="s">
        <v>72</v>
      </c>
      <c r="C92" s="0" t="s">
        <v>56</v>
      </c>
      <c r="D92" s="0" t="s">
        <v>28</v>
      </c>
      <c r="E92" s="0" t="s">
        <v>16</v>
      </c>
      <c r="F92" s="0" t="s">
        <v>80</v>
      </c>
      <c r="G92" s="16" t="n">
        <v>45915</v>
      </c>
      <c r="H92" s="0" t="n">
        <v>94</v>
      </c>
      <c r="I92" s="0" t="n">
        <v>22</v>
      </c>
      <c r="J92" s="0" t="n">
        <v>2</v>
      </c>
      <c r="K92" s="0" t="n">
        <v>87</v>
      </c>
      <c r="L92" s="0" t="n">
        <v>81</v>
      </c>
      <c r="M92" s="0" t="n">
        <v>203612</v>
      </c>
      <c r="N92" s="0" t="n">
        <v>211775</v>
      </c>
      <c r="O92" s="0" t="n">
        <v>3.8</v>
      </c>
      <c r="P92" s="0" t="n">
        <v>6</v>
      </c>
    </row>
    <row r="93" customFormat="false" ht="15" hidden="false" customHeight="false" outlineLevel="0" collapsed="false">
      <c r="A93" s="0" t="s">
        <v>151</v>
      </c>
      <c r="B93" s="0" t="s">
        <v>26</v>
      </c>
      <c r="C93" s="0" t="s">
        <v>27</v>
      </c>
      <c r="D93" s="0" t="s">
        <v>47</v>
      </c>
      <c r="E93" s="0" t="s">
        <v>34</v>
      </c>
      <c r="F93" s="0" t="s">
        <v>35</v>
      </c>
      <c r="G93" s="16" t="n">
        <v>46116</v>
      </c>
      <c r="H93" s="0" t="n">
        <v>82</v>
      </c>
      <c r="I93" s="0" t="n">
        <v>22</v>
      </c>
      <c r="J93" s="0" t="n">
        <v>0</v>
      </c>
      <c r="K93" s="0" t="n">
        <v>169</v>
      </c>
      <c r="L93" s="0" t="n">
        <v>118</v>
      </c>
      <c r="M93" s="0" t="n">
        <v>664044</v>
      </c>
      <c r="N93" s="0" t="n">
        <v>673789</v>
      </c>
      <c r="O93" s="0" t="n">
        <v>4.8</v>
      </c>
      <c r="P93" s="0" t="n">
        <v>12</v>
      </c>
    </row>
    <row r="94" customFormat="false" ht="15" hidden="false" customHeight="false" outlineLevel="0" collapsed="false">
      <c r="A94" s="0" t="s">
        <v>152</v>
      </c>
      <c r="B94" s="0" t="s">
        <v>46</v>
      </c>
      <c r="C94" s="0" t="s">
        <v>56</v>
      </c>
      <c r="D94" s="0" t="s">
        <v>47</v>
      </c>
      <c r="E94" s="0" t="s">
        <v>38</v>
      </c>
      <c r="F94" s="0" t="s">
        <v>48</v>
      </c>
      <c r="G94" s="16" t="n">
        <v>45703</v>
      </c>
      <c r="H94" s="0" t="n">
        <v>85</v>
      </c>
      <c r="I94" s="0" t="n">
        <v>22</v>
      </c>
      <c r="J94" s="0" t="n">
        <v>5</v>
      </c>
      <c r="K94" s="0" t="n">
        <v>196</v>
      </c>
      <c r="L94" s="0" t="n">
        <v>157</v>
      </c>
      <c r="M94" s="0" t="n">
        <v>623630</v>
      </c>
      <c r="N94" s="0" t="n">
        <v>464507</v>
      </c>
      <c r="O94" s="0" t="n">
        <v>3.2</v>
      </c>
      <c r="P94" s="0" t="n">
        <v>11</v>
      </c>
    </row>
    <row r="95" customFormat="false" ht="15" hidden="false" customHeight="false" outlineLevel="0" collapsed="false">
      <c r="A95" s="0" t="s">
        <v>153</v>
      </c>
      <c r="B95" s="0" t="s">
        <v>82</v>
      </c>
      <c r="C95" s="0" t="s">
        <v>27</v>
      </c>
      <c r="D95" s="0" t="s">
        <v>28</v>
      </c>
      <c r="E95" s="0" t="s">
        <v>34</v>
      </c>
      <c r="F95" s="0" t="s">
        <v>42</v>
      </c>
      <c r="G95" s="16" t="n">
        <v>45127</v>
      </c>
      <c r="H95" s="0" t="n">
        <v>97</v>
      </c>
      <c r="I95" s="0" t="n">
        <v>22</v>
      </c>
      <c r="J95" s="0" t="n">
        <v>0</v>
      </c>
      <c r="K95" s="0" t="n">
        <v>181</v>
      </c>
      <c r="L95" s="0" t="n">
        <v>120</v>
      </c>
      <c r="M95" s="0" t="n">
        <v>306628</v>
      </c>
      <c r="N95" s="0" t="n">
        <v>343354</v>
      </c>
      <c r="O95" s="0" t="n">
        <v>4</v>
      </c>
      <c r="P95" s="0" t="n">
        <v>4</v>
      </c>
    </row>
    <row r="96" customFormat="false" ht="15" hidden="false" customHeight="false" outlineLevel="0" collapsed="false">
      <c r="A96" s="0" t="s">
        <v>154</v>
      </c>
      <c r="B96" s="0" t="s">
        <v>62</v>
      </c>
      <c r="C96" s="0" t="s">
        <v>56</v>
      </c>
      <c r="D96" s="0" t="s">
        <v>33</v>
      </c>
      <c r="E96" s="0" t="s">
        <v>29</v>
      </c>
      <c r="F96" s="0" t="s">
        <v>35</v>
      </c>
      <c r="G96" s="16" t="n">
        <v>45368</v>
      </c>
      <c r="H96" s="0" t="n">
        <v>96</v>
      </c>
      <c r="I96" s="0" t="n">
        <v>22</v>
      </c>
      <c r="J96" s="0" t="n">
        <v>3</v>
      </c>
      <c r="K96" s="0" t="n">
        <v>158</v>
      </c>
      <c r="L96" s="0" t="n">
        <v>120</v>
      </c>
      <c r="M96" s="0" t="n">
        <v>677496</v>
      </c>
      <c r="N96" s="0" t="n">
        <v>627511</v>
      </c>
      <c r="O96" s="0" t="n">
        <v>4</v>
      </c>
      <c r="P96" s="0" t="n">
        <v>3</v>
      </c>
    </row>
    <row r="97" customFormat="false" ht="15" hidden="false" customHeight="false" outlineLevel="0" collapsed="false">
      <c r="A97" s="0" t="s">
        <v>155</v>
      </c>
      <c r="B97" s="0" t="s">
        <v>59</v>
      </c>
      <c r="C97" s="0" t="s">
        <v>56</v>
      </c>
      <c r="D97" s="0" t="s">
        <v>50</v>
      </c>
      <c r="E97" s="0" t="s">
        <v>34</v>
      </c>
      <c r="F97" s="0" t="s">
        <v>30</v>
      </c>
      <c r="G97" s="16" t="n">
        <v>45817</v>
      </c>
      <c r="H97" s="0" t="n">
        <v>99</v>
      </c>
      <c r="I97" s="0" t="n">
        <v>22</v>
      </c>
      <c r="J97" s="0" t="n">
        <v>5</v>
      </c>
      <c r="K97" s="0" t="n">
        <v>152</v>
      </c>
      <c r="L97" s="0" t="n">
        <v>104</v>
      </c>
      <c r="M97" s="0" t="n">
        <v>809936</v>
      </c>
      <c r="N97" s="0" t="n">
        <v>667487</v>
      </c>
      <c r="O97" s="0" t="n">
        <v>3.6</v>
      </c>
      <c r="P97" s="0" t="n">
        <v>18</v>
      </c>
    </row>
    <row r="98" customFormat="false" ht="15" hidden="false" customHeight="false" outlineLevel="0" collapsed="false">
      <c r="A98" s="0" t="s">
        <v>156</v>
      </c>
      <c r="B98" s="0" t="s">
        <v>82</v>
      </c>
      <c r="C98" s="0" t="s">
        <v>27</v>
      </c>
      <c r="D98" s="0" t="s">
        <v>28</v>
      </c>
      <c r="E98" s="0" t="s">
        <v>38</v>
      </c>
      <c r="F98" s="0" t="s">
        <v>35</v>
      </c>
      <c r="G98" s="16" t="n">
        <v>46029</v>
      </c>
      <c r="H98" s="0" t="n">
        <v>93</v>
      </c>
      <c r="I98" s="0" t="n">
        <v>22</v>
      </c>
      <c r="J98" s="0" t="n">
        <v>4</v>
      </c>
      <c r="K98" s="0" t="n">
        <v>146</v>
      </c>
      <c r="L98" s="0" t="n">
        <v>90</v>
      </c>
      <c r="M98" s="0" t="n">
        <v>364791</v>
      </c>
      <c r="N98" s="0" t="n">
        <v>321585</v>
      </c>
      <c r="O98" s="0" t="n">
        <v>3.5</v>
      </c>
      <c r="P98" s="0" t="n">
        <v>9</v>
      </c>
    </row>
    <row r="99" customFormat="false" ht="15" hidden="false" customHeight="false" outlineLevel="0" collapsed="false">
      <c r="A99" s="0" t="s">
        <v>157</v>
      </c>
      <c r="B99" s="0" t="s">
        <v>70</v>
      </c>
      <c r="C99" s="0" t="s">
        <v>56</v>
      </c>
      <c r="D99" s="0" t="s">
        <v>50</v>
      </c>
      <c r="E99" s="0" t="s">
        <v>29</v>
      </c>
      <c r="F99" s="0" t="s">
        <v>35</v>
      </c>
      <c r="G99" s="16" t="n">
        <v>45018</v>
      </c>
      <c r="H99" s="0" t="n">
        <v>87</v>
      </c>
      <c r="I99" s="0" t="n">
        <v>22</v>
      </c>
      <c r="J99" s="0" t="n">
        <v>4</v>
      </c>
      <c r="K99" s="0" t="n">
        <v>102</v>
      </c>
      <c r="L99" s="0" t="n">
        <v>63</v>
      </c>
      <c r="M99" s="0" t="n">
        <v>796369</v>
      </c>
      <c r="N99" s="0" t="n">
        <v>622097</v>
      </c>
      <c r="O99" s="0" t="n">
        <v>3.8</v>
      </c>
      <c r="P99" s="0" t="n">
        <v>4</v>
      </c>
    </row>
    <row r="100" customFormat="false" ht="15" hidden="false" customHeight="false" outlineLevel="0" collapsed="false">
      <c r="A100" s="0" t="s">
        <v>158</v>
      </c>
      <c r="B100" s="0" t="s">
        <v>55</v>
      </c>
      <c r="C100" s="0" t="s">
        <v>56</v>
      </c>
      <c r="D100" s="0" t="s">
        <v>28</v>
      </c>
      <c r="E100" s="0" t="s">
        <v>38</v>
      </c>
      <c r="F100" s="0" t="s">
        <v>48</v>
      </c>
      <c r="G100" s="16" t="n">
        <v>44963</v>
      </c>
      <c r="H100" s="0" t="n">
        <v>99</v>
      </c>
      <c r="I100" s="0" t="n">
        <v>22</v>
      </c>
      <c r="J100" s="0" t="n">
        <v>1</v>
      </c>
      <c r="K100" s="0" t="n">
        <v>162</v>
      </c>
      <c r="L100" s="0" t="n">
        <v>156</v>
      </c>
      <c r="M100" s="0" t="n">
        <v>251768</v>
      </c>
      <c r="N100" s="0" t="n">
        <v>224767</v>
      </c>
      <c r="O100" s="0" t="n">
        <v>3.4</v>
      </c>
      <c r="P100" s="0" t="n">
        <v>7</v>
      </c>
    </row>
    <row r="101" customFormat="false" ht="15" hidden="false" customHeight="false" outlineLevel="0" collapsed="false">
      <c r="A101" s="0" t="s">
        <v>159</v>
      </c>
      <c r="B101" s="0" t="s">
        <v>55</v>
      </c>
      <c r="C101" s="0" t="s">
        <v>27</v>
      </c>
      <c r="D101" s="0" t="s">
        <v>33</v>
      </c>
      <c r="E101" s="0" t="s">
        <v>29</v>
      </c>
      <c r="F101" s="0" t="s">
        <v>42</v>
      </c>
      <c r="G101" s="16" t="n">
        <v>45100</v>
      </c>
      <c r="H101" s="0" t="n">
        <v>99</v>
      </c>
      <c r="I101" s="0" t="n">
        <v>22</v>
      </c>
      <c r="J101" s="0" t="n">
        <v>3</v>
      </c>
      <c r="K101" s="0" t="n">
        <v>87</v>
      </c>
      <c r="L101" s="0" t="n">
        <v>53</v>
      </c>
      <c r="M101" s="0" t="n">
        <v>495462</v>
      </c>
      <c r="N101" s="0" t="n">
        <v>531460</v>
      </c>
      <c r="O101" s="0" t="n">
        <v>4.1</v>
      </c>
      <c r="P101" s="0" t="n">
        <v>20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O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1" min="10" style="0" width="13"/>
    <col collapsed="false" customWidth="true" hidden="true" outlineLevel="0" max="15" min="14" style="0" width="10"/>
  </cols>
  <sheetData>
    <row r="1" customFormat="false" ht="24" hidden="false" customHeight="true" outlineLevel="0" collapsed="false">
      <c r="A1" s="17" t="s">
        <v>160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N1" s="18" t="s">
        <v>161</v>
      </c>
      <c r="O1" s="18" t="s">
        <v>162</v>
      </c>
    </row>
    <row r="2" customFormat="false" ht="15" hidden="false" customHeight="false" outlineLevel="0" collapsed="false">
      <c r="N2" s="19" t="n">
        <f aca="false">Employee_Data!O2+ROW()/1000000</f>
        <v>4.900002</v>
      </c>
      <c r="O2" s="19" t="n">
        <v>2</v>
      </c>
    </row>
    <row r="3" customFormat="false" ht="19.5" hidden="false" customHeight="true" outlineLevel="0" collapsed="false">
      <c r="A3" s="8" t="s">
        <v>163</v>
      </c>
      <c r="B3" s="8"/>
      <c r="C3" s="8"/>
      <c r="D3" s="8"/>
      <c r="E3" s="8"/>
      <c r="F3" s="8"/>
      <c r="G3" s="8"/>
      <c r="H3" s="8"/>
      <c r="I3" s="8"/>
      <c r="J3" s="8"/>
      <c r="K3" s="8"/>
      <c r="N3" s="19" t="n">
        <f aca="false">Employee_Data!O3+ROW()/1000000</f>
        <v>3.600003</v>
      </c>
      <c r="O3" s="19" t="n">
        <v>3</v>
      </c>
    </row>
    <row r="4" customFormat="false" ht="30" hidden="false" customHeight="true" outlineLevel="0" collapsed="false">
      <c r="A4" s="20" t="s">
        <v>14</v>
      </c>
      <c r="B4" s="20" t="s">
        <v>164</v>
      </c>
      <c r="C4" s="20" t="s">
        <v>165</v>
      </c>
      <c r="D4" s="20" t="s">
        <v>166</v>
      </c>
      <c r="E4" s="20" t="s">
        <v>167</v>
      </c>
      <c r="F4" s="20" t="s">
        <v>168</v>
      </c>
      <c r="G4" s="20" t="s">
        <v>169</v>
      </c>
      <c r="H4" s="20" t="s">
        <v>170</v>
      </c>
      <c r="I4" s="20" t="s">
        <v>171</v>
      </c>
      <c r="J4" s="20" t="s">
        <v>172</v>
      </c>
      <c r="K4" s="20" t="s">
        <v>173</v>
      </c>
      <c r="N4" s="19" t="n">
        <f aca="false">Employee_Data!O4+ROW()/1000000</f>
        <v>3.300004</v>
      </c>
      <c r="O4" s="19" t="n">
        <v>4</v>
      </c>
    </row>
    <row r="5" customFormat="false" ht="15" hidden="false" customHeight="false" outlineLevel="0" collapsed="false">
      <c r="A5" s="10" t="s">
        <v>28</v>
      </c>
      <c r="B5" s="10" t="n">
        <f aca="false">COUNTIF(Employee_Data!$D$2:$D$101,A5)</f>
        <v>23</v>
      </c>
      <c r="C5" s="21" t="n">
        <f aca="false">AVERAGEIF(Employee_Data!$D$2:$D$101,A5,Employee_Data!$H$2:$H$101)/100</f>
        <v>0.926521739130435</v>
      </c>
      <c r="D5" s="22" t="n">
        <f aca="false">AVERAGEIF(Employee_Data!$D$2:$D$101,A5,Employee_Data!$O$2:$O$101)</f>
        <v>3.91304347826087</v>
      </c>
      <c r="E5" s="12" t="n">
        <f aca="false">SUMIF(Employee_Data!$D$2:$D$101,A5,Employee_Data!$M$2:$M$101)</f>
        <v>12901840</v>
      </c>
      <c r="F5" s="12" t="n">
        <f aca="false">SUMIF(Employee_Data!$D$2:$D$101,A5,Employee_Data!$N$2:$N$101)</f>
        <v>12539903</v>
      </c>
      <c r="G5" s="21" t="n">
        <f aca="false">IFERROR(F5/E5,0)</f>
        <v>0.971946869593794</v>
      </c>
      <c r="H5" s="12" t="n">
        <f aca="false">SUMIF(Employee_Data!$D$2:$D$101,A5,Employee_Data!$K$2:$K$101)</f>
        <v>2923</v>
      </c>
      <c r="I5" s="12" t="n">
        <f aca="false">SUMIF(Employee_Data!$D$2:$D$101,A5,Employee_Data!$L$2:$L$101)</f>
        <v>2311</v>
      </c>
      <c r="J5" s="21" t="n">
        <f aca="false">IFERROR(I5/H5,0)</f>
        <v>0.790626069107082</v>
      </c>
      <c r="K5" s="11" t="n">
        <f aca="false">AVERAGEIF(Employee_Data!$D$2:$D$101,A5,Employee_Data!$P$2:$P$101)</f>
        <v>7.73913043478261</v>
      </c>
      <c r="N5" s="19" t="n">
        <f aca="false">Employee_Data!O5+ROW()/1000000</f>
        <v>3.800005</v>
      </c>
      <c r="O5" s="19" t="n">
        <v>5</v>
      </c>
    </row>
    <row r="6" customFormat="false" ht="15" hidden="false" customHeight="false" outlineLevel="0" collapsed="false">
      <c r="A6" s="13" t="s">
        <v>41</v>
      </c>
      <c r="B6" s="13" t="n">
        <f aca="false">COUNTIF(Employee_Data!$D$2:$D$101,A6)</f>
        <v>22</v>
      </c>
      <c r="C6" s="23" t="n">
        <f aca="false">AVERAGEIF(Employee_Data!$D$2:$D$101,A6,Employee_Data!$H$2:$H$101)/100</f>
        <v>0.896363636363636</v>
      </c>
      <c r="D6" s="24" t="n">
        <f aca="false">AVERAGEIF(Employee_Data!$D$2:$D$101,A6,Employee_Data!$O$2:$O$101)</f>
        <v>4.15454545454546</v>
      </c>
      <c r="E6" s="15" t="n">
        <f aca="false">SUMIF(Employee_Data!$D$2:$D$101,A6,Employee_Data!$M$2:$M$101)</f>
        <v>11208100</v>
      </c>
      <c r="F6" s="15" t="n">
        <f aca="false">SUMIF(Employee_Data!$D$2:$D$101,A6,Employee_Data!$N$2:$N$101)</f>
        <v>11241743</v>
      </c>
      <c r="G6" s="23" t="n">
        <f aca="false">IFERROR(F6/E6,0)</f>
        <v>1.00300166843622</v>
      </c>
      <c r="H6" s="15" t="n">
        <f aca="false">SUMIF(Employee_Data!$D$2:$D$101,A6,Employee_Data!$K$2:$K$101)</f>
        <v>2494</v>
      </c>
      <c r="I6" s="15" t="n">
        <f aca="false">SUMIF(Employee_Data!$D$2:$D$101,A6,Employee_Data!$L$2:$L$101)</f>
        <v>2189</v>
      </c>
      <c r="J6" s="23" t="n">
        <f aca="false">IFERROR(I6/H6,0)</f>
        <v>0.877706495589415</v>
      </c>
      <c r="K6" s="14" t="n">
        <f aca="false">AVERAGEIF(Employee_Data!$D$2:$D$101,A6,Employee_Data!$P$2:$P$101)</f>
        <v>8.86363636363636</v>
      </c>
      <c r="N6" s="19" t="n">
        <f aca="false">Employee_Data!O6+ROW()/1000000</f>
        <v>4.400006</v>
      </c>
      <c r="O6" s="19" t="n">
        <v>6</v>
      </c>
    </row>
    <row r="7" customFormat="false" ht="15" hidden="false" customHeight="false" outlineLevel="0" collapsed="false">
      <c r="A7" s="10" t="s">
        <v>33</v>
      </c>
      <c r="B7" s="10" t="n">
        <f aca="false">COUNTIF(Employee_Data!$D$2:$D$101,A7)</f>
        <v>21</v>
      </c>
      <c r="C7" s="21" t="n">
        <f aca="false">AVERAGEIF(Employee_Data!$D$2:$D$101,A7,Employee_Data!$H$2:$H$101)/100</f>
        <v>0.922380952380952</v>
      </c>
      <c r="D7" s="22" t="n">
        <f aca="false">AVERAGEIF(Employee_Data!$D$2:$D$101,A7,Employee_Data!$O$2:$O$101)</f>
        <v>4.06190476190476</v>
      </c>
      <c r="E7" s="12" t="n">
        <f aca="false">SUMIF(Employee_Data!$D$2:$D$101,A7,Employee_Data!$M$2:$M$101)</f>
        <v>11409711</v>
      </c>
      <c r="F7" s="12" t="n">
        <f aca="false">SUMIF(Employee_Data!$D$2:$D$101,A7,Employee_Data!$N$2:$N$101)</f>
        <v>10906653</v>
      </c>
      <c r="G7" s="21" t="n">
        <f aca="false">IFERROR(F7/E7,0)</f>
        <v>0.955909663268421</v>
      </c>
      <c r="H7" s="12" t="n">
        <f aca="false">SUMIF(Employee_Data!$D$2:$D$101,A7,Employee_Data!$K$2:$K$101)</f>
        <v>2846</v>
      </c>
      <c r="I7" s="12" t="n">
        <f aca="false">SUMIF(Employee_Data!$D$2:$D$101,A7,Employee_Data!$L$2:$L$101)</f>
        <v>2236</v>
      </c>
      <c r="J7" s="21" t="n">
        <f aca="false">IFERROR(I7/H7,0)</f>
        <v>0.785664089950808</v>
      </c>
      <c r="K7" s="11" t="n">
        <f aca="false">AVERAGEIF(Employee_Data!$D$2:$D$101,A7,Employee_Data!$P$2:$P$101)</f>
        <v>9.28571428571429</v>
      </c>
      <c r="N7" s="19" t="n">
        <f aca="false">Employee_Data!O7+ROW()/1000000</f>
        <v>3.300007</v>
      </c>
      <c r="O7" s="19" t="n">
        <v>7</v>
      </c>
    </row>
    <row r="8" customFormat="false" ht="15" hidden="false" customHeight="false" outlineLevel="0" collapsed="false">
      <c r="A8" s="13" t="s">
        <v>50</v>
      </c>
      <c r="B8" s="13" t="n">
        <f aca="false">COUNTIF(Employee_Data!$D$2:$D$101,A8)</f>
        <v>18</v>
      </c>
      <c r="C8" s="23" t="n">
        <f aca="false">AVERAGEIF(Employee_Data!$D$2:$D$101,A8,Employee_Data!$H$2:$H$101)/100</f>
        <v>0.890555555555556</v>
      </c>
      <c r="D8" s="24" t="n">
        <f aca="false">AVERAGEIF(Employee_Data!$D$2:$D$101,A8,Employee_Data!$O$2:$O$101)</f>
        <v>4.06666666666667</v>
      </c>
      <c r="E8" s="15" t="n">
        <f aca="false">SUMIF(Employee_Data!$D$2:$D$101,A8,Employee_Data!$M$2:$M$101)</f>
        <v>10281919</v>
      </c>
      <c r="F8" s="15" t="n">
        <f aca="false">SUMIF(Employee_Data!$D$2:$D$101,A8,Employee_Data!$N$2:$N$101)</f>
        <v>9890150</v>
      </c>
      <c r="G8" s="23" t="n">
        <f aca="false">IFERROR(F8/E8,0)</f>
        <v>0.961897287850643</v>
      </c>
      <c r="H8" s="15" t="n">
        <f aca="false">SUMIF(Employee_Data!$D$2:$D$101,A8,Employee_Data!$K$2:$K$101)</f>
        <v>2057</v>
      </c>
      <c r="I8" s="15" t="n">
        <f aca="false">SUMIF(Employee_Data!$D$2:$D$101,A8,Employee_Data!$L$2:$L$101)</f>
        <v>1700</v>
      </c>
      <c r="J8" s="23" t="n">
        <f aca="false">IFERROR(I8/H8,0)</f>
        <v>0.826446280991736</v>
      </c>
      <c r="K8" s="14" t="n">
        <f aca="false">AVERAGEIF(Employee_Data!$D$2:$D$101,A8,Employee_Data!$P$2:$P$101)</f>
        <v>11.7222222222222</v>
      </c>
      <c r="N8" s="19" t="n">
        <f aca="false">Employee_Data!O8+ROW()/1000000</f>
        <v>3.200008</v>
      </c>
      <c r="O8" s="19" t="n">
        <v>8</v>
      </c>
    </row>
    <row r="9" customFormat="false" ht="15" hidden="false" customHeight="false" outlineLevel="0" collapsed="false">
      <c r="A9" s="10" t="s">
        <v>47</v>
      </c>
      <c r="B9" s="10" t="n">
        <f aca="false">COUNTIF(Employee_Data!$D$2:$D$101,A9)</f>
        <v>16</v>
      </c>
      <c r="C9" s="21" t="n">
        <f aca="false">AVERAGEIF(Employee_Data!$D$2:$D$101,A9,Employee_Data!$H$2:$H$101)/100</f>
        <v>0.90125</v>
      </c>
      <c r="D9" s="22" t="n">
        <f aca="false">AVERAGEIF(Employee_Data!$D$2:$D$101,A9,Employee_Data!$O$2:$O$101)</f>
        <v>4.2375</v>
      </c>
      <c r="E9" s="12" t="n">
        <f aca="false">SUMIF(Employee_Data!$D$2:$D$101,A9,Employee_Data!$M$2:$M$101)</f>
        <v>7720035</v>
      </c>
      <c r="F9" s="12" t="n">
        <f aca="false">SUMIF(Employee_Data!$D$2:$D$101,A9,Employee_Data!$N$2:$N$101)</f>
        <v>7209916</v>
      </c>
      <c r="G9" s="21" t="n">
        <f aca="false">IFERROR(F9/E9,0)</f>
        <v>0.933922708899636</v>
      </c>
      <c r="H9" s="12" t="n">
        <f aca="false">SUMIF(Employee_Data!$D$2:$D$101,A9,Employee_Data!$K$2:$K$101)</f>
        <v>2135</v>
      </c>
      <c r="I9" s="12" t="n">
        <f aca="false">SUMIF(Employee_Data!$D$2:$D$101,A9,Employee_Data!$L$2:$L$101)</f>
        <v>1613</v>
      </c>
      <c r="J9" s="21" t="n">
        <f aca="false">IFERROR(I9/H9,0)</f>
        <v>0.755503512880562</v>
      </c>
      <c r="K9" s="11" t="n">
        <f aca="false">AVERAGEIF(Employee_Data!$D$2:$D$101,A9,Employee_Data!$P$2:$P$101)</f>
        <v>9.125</v>
      </c>
      <c r="N9" s="19" t="n">
        <f aca="false">Employee_Data!O9+ROW()/1000000</f>
        <v>4.100009</v>
      </c>
      <c r="O9" s="19" t="n">
        <v>9</v>
      </c>
    </row>
    <row r="10" customFormat="false" ht="15" hidden="false" customHeight="false" outlineLevel="0" collapsed="false">
      <c r="A10" s="25" t="s">
        <v>174</v>
      </c>
      <c r="B10" s="25" t="n">
        <f aca="false">SUM(B5:B9)</f>
        <v>100</v>
      </c>
      <c r="C10" s="26" t="n">
        <f aca="false">AVERAGE(Employee_Data!$H$2:$H$101)/100</f>
        <v>0.9085</v>
      </c>
      <c r="D10" s="27" t="n">
        <f aca="false">AVERAGE(Employee_Data!$O$2:$O$101)</f>
        <v>4.077</v>
      </c>
      <c r="E10" s="28" t="n">
        <f aca="false">SUM(E5:E9)</f>
        <v>53521605</v>
      </c>
      <c r="F10" s="28" t="n">
        <f aca="false">SUM(F5:F9)</f>
        <v>51788365</v>
      </c>
      <c r="G10" s="26" t="n">
        <f aca="false">IFERROR(F10/E10,0)</f>
        <v>0.967616068314842</v>
      </c>
      <c r="H10" s="28" t="n">
        <f aca="false">SUM(H5:H9)</f>
        <v>12455</v>
      </c>
      <c r="I10" s="28" t="n">
        <f aca="false">SUM(I5:I9)</f>
        <v>10049</v>
      </c>
      <c r="J10" s="26" t="n">
        <f aca="false">IFERROR(I10/H10,0)</f>
        <v>0.806824568446407</v>
      </c>
      <c r="K10" s="29" t="n">
        <f aca="false">AVERAGE(Employee_Data!$P$2:$P$101)</f>
        <v>9.25</v>
      </c>
      <c r="N10" s="19" t="n">
        <f aca="false">Employee_Data!O10+ROW()/1000000</f>
        <v>3.70001</v>
      </c>
      <c r="O10" s="19" t="n">
        <v>10</v>
      </c>
    </row>
    <row r="11" customFormat="false" ht="15" hidden="false" customHeight="false" outlineLevel="0" collapsed="false">
      <c r="N11" s="19" t="n">
        <f aca="false">Employee_Data!O11+ROW()/1000000</f>
        <v>3.600011</v>
      </c>
      <c r="O11" s="19" t="n">
        <v>11</v>
      </c>
    </row>
    <row r="12" customFormat="false" ht="19.5" hidden="false" customHeight="true" outlineLevel="0" collapsed="false">
      <c r="A12" s="8" t="s">
        <v>175</v>
      </c>
      <c r="B12" s="8"/>
      <c r="C12" s="8"/>
      <c r="D12" s="8"/>
      <c r="E12" s="8"/>
      <c r="F12" s="8"/>
      <c r="G12" s="8"/>
      <c r="H12" s="8"/>
      <c r="I12" s="8"/>
      <c r="J12" s="8"/>
      <c r="K12" s="8"/>
      <c r="N12" s="19" t="n">
        <f aca="false">Employee_Data!O12+ROW()/1000000</f>
        <v>4.100012</v>
      </c>
      <c r="O12" s="19" t="n">
        <v>12</v>
      </c>
    </row>
    <row r="13" customFormat="false" ht="27.75" hidden="false" customHeight="true" outlineLevel="0" collapsed="false">
      <c r="A13" s="20" t="s">
        <v>13</v>
      </c>
      <c r="B13" s="20" t="s">
        <v>164</v>
      </c>
      <c r="C13" s="20" t="s">
        <v>165</v>
      </c>
      <c r="D13" s="20" t="s">
        <v>166</v>
      </c>
      <c r="E13" s="20" t="s">
        <v>176</v>
      </c>
      <c r="F13" s="20" t="s">
        <v>173</v>
      </c>
      <c r="N13" s="19" t="n">
        <f aca="false">Employee_Data!O13+ROW()/1000000</f>
        <v>3.700013</v>
      </c>
      <c r="O13" s="19" t="n">
        <v>13</v>
      </c>
    </row>
    <row r="14" customFormat="false" ht="15" hidden="false" customHeight="false" outlineLevel="0" collapsed="false">
      <c r="A14" s="10" t="s">
        <v>27</v>
      </c>
      <c r="B14" s="10" t="n">
        <f aca="false">COUNTIF(Employee_Data!$C$2:$C$101,A14)</f>
        <v>50</v>
      </c>
      <c r="C14" s="21" t="n">
        <f aca="false">AVERAGEIF(Employee_Data!$C$2:$C$101,A14,Employee_Data!$H$2:$H$101)/100</f>
        <v>0.9076</v>
      </c>
      <c r="D14" s="22" t="n">
        <f aca="false">AVERAGEIF(Employee_Data!$C$2:$C$101,A14,Employee_Data!$O$2:$O$101)</f>
        <v>4.088</v>
      </c>
      <c r="E14" s="12" t="n">
        <f aca="false">AVERAGEIF(Employee_Data!$C$2:$C$101,A14,Employee_Data!$N$2:$N$101)</f>
        <v>506244.52</v>
      </c>
      <c r="F14" s="11" t="n">
        <f aca="false">AVERAGEIF(Employee_Data!$C$2:$C$101,A14,Employee_Data!$P$2:$P$101)</f>
        <v>9.7</v>
      </c>
      <c r="N14" s="19" t="n">
        <f aca="false">Employee_Data!O14+ROW()/1000000</f>
        <v>4.700014</v>
      </c>
      <c r="O14" s="19" t="n">
        <v>14</v>
      </c>
    </row>
    <row r="15" customFormat="false" ht="15" hidden="false" customHeight="false" outlineLevel="0" collapsed="false">
      <c r="A15" s="13" t="s">
        <v>56</v>
      </c>
      <c r="B15" s="13" t="n">
        <f aca="false">COUNTIF(Employee_Data!$C$2:$C$101,A15)</f>
        <v>50</v>
      </c>
      <c r="C15" s="23" t="n">
        <f aca="false">AVERAGEIF(Employee_Data!$C$2:$C$101,A15,Employee_Data!$H$2:$H$101)/100</f>
        <v>0.9094</v>
      </c>
      <c r="D15" s="24" t="n">
        <f aca="false">AVERAGEIF(Employee_Data!$C$2:$C$101,A15,Employee_Data!$O$2:$O$101)</f>
        <v>4.066</v>
      </c>
      <c r="E15" s="15" t="n">
        <f aca="false">AVERAGEIF(Employee_Data!$C$2:$C$101,A15,Employee_Data!$N$2:$N$101)</f>
        <v>529522.78</v>
      </c>
      <c r="F15" s="14" t="n">
        <f aca="false">AVERAGEIF(Employee_Data!$C$2:$C$101,A15,Employee_Data!$P$2:$P$101)</f>
        <v>8.8</v>
      </c>
      <c r="N15" s="19" t="n">
        <f aca="false">Employee_Data!O15+ROW()/1000000</f>
        <v>4.100015</v>
      </c>
      <c r="O15" s="19" t="n">
        <v>15</v>
      </c>
    </row>
    <row r="16" customFormat="false" ht="15" hidden="false" customHeight="false" outlineLevel="0" collapsed="false">
      <c r="N16" s="19" t="n">
        <f aca="false">Employee_Data!O16+ROW()/1000000</f>
        <v>3.500016</v>
      </c>
      <c r="O16" s="19" t="n">
        <v>16</v>
      </c>
    </row>
    <row r="17" customFormat="false" ht="19.5" hidden="false" customHeight="true" outlineLevel="0" collapsed="false">
      <c r="A17" s="8" t="s">
        <v>177</v>
      </c>
      <c r="B17" s="8"/>
      <c r="C17" s="8"/>
      <c r="D17" s="8"/>
      <c r="E17" s="8"/>
      <c r="F17" s="8"/>
      <c r="G17" s="8"/>
      <c r="H17" s="8"/>
      <c r="I17" s="8"/>
      <c r="J17" s="8"/>
      <c r="K17" s="8"/>
      <c r="N17" s="19" t="n">
        <f aca="false">Employee_Data!O17+ROW()/1000000</f>
        <v>4.600017</v>
      </c>
      <c r="O17" s="19" t="n">
        <v>17</v>
      </c>
    </row>
    <row r="18" customFormat="false" ht="27.75" hidden="false" customHeight="true" outlineLevel="0" collapsed="false">
      <c r="A18" s="20" t="s">
        <v>15</v>
      </c>
      <c r="B18" s="20" t="s">
        <v>164</v>
      </c>
      <c r="C18" s="20" t="s">
        <v>166</v>
      </c>
      <c r="D18" s="20" t="s">
        <v>176</v>
      </c>
      <c r="E18" s="20" t="s">
        <v>165</v>
      </c>
      <c r="N18" s="19" t="n">
        <f aca="false">Employee_Data!O18+ROW()/1000000</f>
        <v>3.300018</v>
      </c>
      <c r="O18" s="19" t="n">
        <v>18</v>
      </c>
    </row>
    <row r="19" customFormat="false" ht="15" hidden="false" customHeight="false" outlineLevel="0" collapsed="false">
      <c r="A19" s="10" t="s">
        <v>38</v>
      </c>
      <c r="B19" s="10" t="n">
        <f aca="false">COUNTIF(Employee_Data!$E$2:$E$101,A19)</f>
        <v>29</v>
      </c>
      <c r="C19" s="22" t="n">
        <f aca="false">AVERAGEIF(Employee_Data!$E$2:$E$101,A19,Employee_Data!$O$2:$O$101)</f>
        <v>4.16551724137931</v>
      </c>
      <c r="D19" s="12" t="n">
        <f aca="false">AVERAGEIF(Employee_Data!$E$2:$E$101,A19,Employee_Data!$N$2:$N$101)</f>
        <v>489561.827586207</v>
      </c>
      <c r="E19" s="21" t="n">
        <f aca="false">AVERAGEIF(Employee_Data!$E$2:$E$101,A19,Employee_Data!$H$2:$H$101)/100</f>
        <v>0.909310344827586</v>
      </c>
      <c r="N19" s="19" t="n">
        <f aca="false">Employee_Data!O19+ROW()/1000000</f>
        <v>3.900019</v>
      </c>
      <c r="O19" s="19" t="n">
        <v>19</v>
      </c>
    </row>
    <row r="20" customFormat="false" ht="15" hidden="false" customHeight="false" outlineLevel="0" collapsed="false">
      <c r="A20" s="13" t="s">
        <v>29</v>
      </c>
      <c r="B20" s="13" t="n">
        <f aca="false">COUNTIF(Employee_Data!$E$2:$E$101,A20)</f>
        <v>23</v>
      </c>
      <c r="C20" s="24" t="n">
        <f aca="false">AVERAGEIF(Employee_Data!$E$2:$E$101,A20,Employee_Data!$O$2:$O$101)</f>
        <v>4.06086956521739</v>
      </c>
      <c r="D20" s="15" t="n">
        <f aca="false">AVERAGEIF(Employee_Data!$E$2:$E$101,A20,Employee_Data!$N$2:$N$101)</f>
        <v>584422.826086957</v>
      </c>
      <c r="E20" s="23" t="n">
        <f aca="false">AVERAGEIF(Employee_Data!$E$2:$E$101,A20,Employee_Data!$H$2:$H$101)/100</f>
        <v>0.908695652173913</v>
      </c>
      <c r="N20" s="19" t="n">
        <f aca="false">Employee_Data!O20+ROW()/1000000</f>
        <v>4.30002</v>
      </c>
      <c r="O20" s="19" t="n">
        <v>20</v>
      </c>
    </row>
    <row r="21" customFormat="false" ht="15" hidden="false" customHeight="false" outlineLevel="0" collapsed="false">
      <c r="A21" s="10" t="s">
        <v>34</v>
      </c>
      <c r="B21" s="10" t="n">
        <f aca="false">COUNTIF(Employee_Data!$E$2:$E$101,A21)</f>
        <v>21</v>
      </c>
      <c r="C21" s="22" t="n">
        <f aca="false">AVERAGEIF(Employee_Data!$E$2:$E$101,A21,Employee_Data!$O$2:$O$101)</f>
        <v>3.95238095238095</v>
      </c>
      <c r="D21" s="12" t="n">
        <f aca="false">AVERAGEIF(Employee_Data!$E$2:$E$101,A21,Employee_Data!$N$2:$N$101)</f>
        <v>476546.666666667</v>
      </c>
      <c r="E21" s="21" t="n">
        <f aca="false">AVERAGEIF(Employee_Data!$E$2:$E$101,A21,Employee_Data!$H$2:$H$101)/100</f>
        <v>0.904761904761905</v>
      </c>
      <c r="N21" s="19" t="n">
        <f aca="false">Employee_Data!O21+ROW()/1000000</f>
        <v>3.300021</v>
      </c>
      <c r="O21" s="19" t="n">
        <v>21</v>
      </c>
    </row>
    <row r="22" customFormat="false" ht="15" hidden="false" customHeight="false" outlineLevel="0" collapsed="false">
      <c r="A22" s="13" t="s">
        <v>16</v>
      </c>
      <c r="B22" s="13" t="n">
        <f aca="false">COUNTIF(Employee_Data!$E$2:$E$101,A22)</f>
        <v>19</v>
      </c>
      <c r="C22" s="24" t="n">
        <f aca="false">AVERAGEIF(Employee_Data!$E$2:$E$101,A22,Employee_Data!$O$2:$O$101)</f>
        <v>4.05789473684211</v>
      </c>
      <c r="D22" s="15" t="n">
        <f aca="false">AVERAGEIF(Employee_Data!$E$2:$E$101,A22,Employee_Data!$N$2:$N$101)</f>
        <v>474877.157894737</v>
      </c>
      <c r="E22" s="23" t="n">
        <f aca="false">AVERAGEIF(Employee_Data!$E$2:$E$101,A22,Employee_Data!$H$2:$H$101)/100</f>
        <v>0.903157894736842</v>
      </c>
      <c r="N22" s="19" t="n">
        <f aca="false">Employee_Data!O22+ROW()/1000000</f>
        <v>4.400022</v>
      </c>
      <c r="O22" s="19" t="n">
        <v>22</v>
      </c>
    </row>
    <row r="23" customFormat="false" ht="15" hidden="false" customHeight="false" outlineLevel="0" collapsed="false">
      <c r="A23" s="10" t="s">
        <v>53</v>
      </c>
      <c r="B23" s="10" t="n">
        <f aca="false">COUNTIF(Employee_Data!$E$2:$E$101,A23)</f>
        <v>8</v>
      </c>
      <c r="C23" s="22" t="n">
        <f aca="false">AVERAGEIF(Employee_Data!$E$2:$E$101,A23,Employee_Data!$O$2:$O$101)</f>
        <v>4.175</v>
      </c>
      <c r="D23" s="12" t="n">
        <f aca="false">AVERAGEIF(Employee_Data!$E$2:$E$101,A23,Employee_Data!$N$2:$N$101)</f>
        <v>639900.125</v>
      </c>
      <c r="E23" s="21" t="n">
        <f aca="false">AVERAGEIF(Employee_Data!$E$2:$E$101,A23,Employee_Data!$H$2:$H$101)/100</f>
        <v>0.9275</v>
      </c>
      <c r="N23" s="19" t="n">
        <f aca="false">Employee_Data!O23+ROW()/1000000</f>
        <v>4.600023</v>
      </c>
      <c r="O23" s="19" t="n">
        <v>23</v>
      </c>
    </row>
    <row r="24" customFormat="false" ht="15" hidden="false" customHeight="false" outlineLevel="0" collapsed="false">
      <c r="N24" s="19" t="n">
        <f aca="false">Employee_Data!O24+ROW()/1000000</f>
        <v>3.700024</v>
      </c>
      <c r="O24" s="19" t="n">
        <v>24</v>
      </c>
    </row>
    <row r="25" customFormat="false" ht="19.5" hidden="false" customHeight="true" outlineLevel="0" collapsed="false">
      <c r="A25" s="8" t="s">
        <v>6</v>
      </c>
      <c r="B25" s="8"/>
      <c r="C25" s="8"/>
      <c r="D25" s="8"/>
      <c r="E25" s="8"/>
      <c r="F25" s="8"/>
      <c r="N25" s="19" t="n">
        <f aca="false">Employee_Data!O25+ROW()/1000000</f>
        <v>4.400025</v>
      </c>
      <c r="O25" s="19" t="n">
        <v>25</v>
      </c>
    </row>
    <row r="26" customFormat="false" ht="15" hidden="false" customHeight="false" outlineLevel="0" collapsed="false">
      <c r="A26" s="9" t="s">
        <v>178</v>
      </c>
      <c r="B26" s="9" t="s">
        <v>12</v>
      </c>
      <c r="C26" s="9" t="s">
        <v>14</v>
      </c>
      <c r="D26" s="9" t="s">
        <v>15</v>
      </c>
      <c r="E26" s="9" t="s">
        <v>9</v>
      </c>
      <c r="F26" s="9" t="s">
        <v>10</v>
      </c>
      <c r="N26" s="19" t="n">
        <f aca="false">Employee_Data!O26+ROW()/1000000</f>
        <v>4.800026</v>
      </c>
      <c r="O26" s="19" t="n">
        <v>26</v>
      </c>
    </row>
    <row r="27" customFormat="false" ht="15" hidden="false" customHeight="false" outlineLevel="0" collapsed="false">
      <c r="A27" s="10" t="n">
        <v>1</v>
      </c>
      <c r="B27" s="10" t="str">
        <f aca="false">INDEX(Employee_Data!$B$2:$B$101,MATCH(LARGE($N$2:$N$101,1),$N$2:$N$101,0))</f>
        <v>Karthik</v>
      </c>
      <c r="C27" s="10" t="str">
        <f aca="false">INDEX(Employee_Data!$D$2:$D$101,MATCH(LARGE($N$2:$N$101,1),$N$2:$N$101,0))</f>
        <v>Finance</v>
      </c>
      <c r="D27" s="10" t="str">
        <f aca="false">INDEX(Employee_Data!$E$2:$E$101,MATCH(LARGE($N$2:$N$101,1),$N$2:$N$101,0))</f>
        <v>Analyst</v>
      </c>
      <c r="E27" s="11" t="n">
        <f aca="false">INDEX(Employee_Data!$O$2:$O$101,MATCH(LARGE($N$2:$N$101,1),$N$2:$N$101,0))</f>
        <v>5</v>
      </c>
      <c r="F27" s="12" t="n">
        <f aca="false">INDEX(Employee_Data!$N$2:$N$101,MATCH(LARGE($N$2:$N$101,1),$N$2:$N$101,0))</f>
        <v>966305</v>
      </c>
      <c r="N27" s="19" t="n">
        <f aca="false">Employee_Data!O27+ROW()/1000000</f>
        <v>3.900027</v>
      </c>
      <c r="O27" s="19" t="n">
        <v>27</v>
      </c>
    </row>
    <row r="28" customFormat="false" ht="15" hidden="false" customHeight="false" outlineLevel="0" collapsed="false">
      <c r="A28" s="13" t="n">
        <v>2</v>
      </c>
      <c r="B28" s="13" t="str">
        <f aca="false">INDEX(Employee_Data!$B$2:$B$101,MATCH(LARGE($N$2:$N$101,2),$N$2:$N$101,0))</f>
        <v>Lavanya</v>
      </c>
      <c r="C28" s="13" t="str">
        <f aca="false">INDEX(Employee_Data!$D$2:$D$101,MATCH(LARGE($N$2:$N$101,2),$N$2:$N$101,0))</f>
        <v>IT</v>
      </c>
      <c r="D28" s="13" t="str">
        <f aca="false">INDEX(Employee_Data!$E$2:$E$101,MATCH(LARGE($N$2:$N$101,2),$N$2:$N$101,0))</f>
        <v>Team Lead</v>
      </c>
      <c r="E28" s="14" t="n">
        <f aca="false">INDEX(Employee_Data!$O$2:$O$101,MATCH(LARGE($N$2:$N$101,2),$N$2:$N$101,0))</f>
        <v>5</v>
      </c>
      <c r="F28" s="15" t="n">
        <f aca="false">INDEX(Employee_Data!$N$2:$N$101,MATCH(LARGE($N$2:$N$101,2),$N$2:$N$101,0))</f>
        <v>502542</v>
      </c>
      <c r="N28" s="19" t="n">
        <f aca="false">Employee_Data!O28+ROW()/1000000</f>
        <v>3.400028</v>
      </c>
      <c r="O28" s="19" t="n">
        <v>28</v>
      </c>
    </row>
    <row r="29" customFormat="false" ht="15" hidden="false" customHeight="false" outlineLevel="0" collapsed="false">
      <c r="A29" s="10" t="n">
        <v>3</v>
      </c>
      <c r="B29" s="10" t="str">
        <f aca="false">INDEX(Employee_Data!$B$2:$B$101,MATCH(LARGE($N$2:$N$101,3),$N$2:$N$101,0))</f>
        <v>Sneha</v>
      </c>
      <c r="C29" s="10" t="str">
        <f aca="false">INDEX(Employee_Data!$D$2:$D$101,MATCH(LARGE($N$2:$N$101,3),$N$2:$N$101,0))</f>
        <v>HR</v>
      </c>
      <c r="D29" s="10" t="str">
        <f aca="false">INDEX(Employee_Data!$E$2:$E$101,MATCH(LARGE($N$2:$N$101,3),$N$2:$N$101,0))</f>
        <v>Executive</v>
      </c>
      <c r="E29" s="11" t="n">
        <f aca="false">INDEX(Employee_Data!$O$2:$O$101,MATCH(LARGE($N$2:$N$101,3),$N$2:$N$101,0))</f>
        <v>5</v>
      </c>
      <c r="F29" s="12" t="n">
        <f aca="false">INDEX(Employee_Data!$N$2:$N$101,MATCH(LARGE($N$2:$N$101,3),$N$2:$N$101,0))</f>
        <v>454685</v>
      </c>
      <c r="N29" s="19" t="n">
        <f aca="false">Employee_Data!O29+ROW()/1000000</f>
        <v>4.500029</v>
      </c>
      <c r="O29" s="19" t="n">
        <v>29</v>
      </c>
    </row>
    <row r="30" customFormat="false" ht="15" hidden="false" customHeight="false" outlineLevel="0" collapsed="false">
      <c r="A30" s="13" t="n">
        <v>4</v>
      </c>
      <c r="B30" s="13" t="str">
        <f aca="false">INDEX(Employee_Data!$B$2:$B$101,MATCH(LARGE($N$2:$N$101,4),$N$2:$N$101,0))</f>
        <v>Asha</v>
      </c>
      <c r="C30" s="13" t="str">
        <f aca="false">INDEX(Employee_Data!$D$2:$D$101,MATCH(LARGE($N$2:$N$101,4),$N$2:$N$101,0))</f>
        <v>Marketing</v>
      </c>
      <c r="D30" s="13" t="str">
        <f aca="false">INDEX(Employee_Data!$E$2:$E$101,MATCH(LARGE($N$2:$N$101,4),$N$2:$N$101,0))</f>
        <v>Manager</v>
      </c>
      <c r="E30" s="14" t="n">
        <f aca="false">INDEX(Employee_Data!$O$2:$O$101,MATCH(LARGE($N$2:$N$101,4),$N$2:$N$101,0))</f>
        <v>5</v>
      </c>
      <c r="F30" s="15" t="n">
        <f aca="false">INDEX(Employee_Data!$N$2:$N$101,MATCH(LARGE($N$2:$N$101,4),$N$2:$N$101,0))</f>
        <v>682192</v>
      </c>
      <c r="N30" s="19" t="n">
        <f aca="false">Employee_Data!O30+ROW()/1000000</f>
        <v>3.00003</v>
      </c>
      <c r="O30" s="19" t="n">
        <v>30</v>
      </c>
    </row>
    <row r="31" customFormat="false" ht="15" hidden="false" customHeight="false" outlineLevel="0" collapsed="false">
      <c r="A31" s="10" t="n">
        <v>5</v>
      </c>
      <c r="B31" s="10" t="str">
        <f aca="false">INDEX(Employee_Data!$B$2:$B$101,MATCH(LARGE($N$2:$N$101,5),$N$2:$N$101,0))</f>
        <v>Lavanya</v>
      </c>
      <c r="C31" s="10" t="str">
        <f aca="false">INDEX(Employee_Data!$D$2:$D$101,MATCH(LARGE($N$2:$N$101,5),$N$2:$N$101,0))</f>
        <v>HR</v>
      </c>
      <c r="D31" s="10" t="str">
        <f aca="false">INDEX(Employee_Data!$E$2:$E$101,MATCH(LARGE($N$2:$N$101,5),$N$2:$N$101,0))</f>
        <v>Team Lead</v>
      </c>
      <c r="E31" s="11" t="n">
        <f aca="false">INDEX(Employee_Data!$O$2:$O$101,MATCH(LARGE($N$2:$N$101,5),$N$2:$N$101,0))</f>
        <v>4.9</v>
      </c>
      <c r="F31" s="12" t="n">
        <f aca="false">INDEX(Employee_Data!$N$2:$N$101,MATCH(LARGE($N$2:$N$101,5),$N$2:$N$101,0))</f>
        <v>863509</v>
      </c>
      <c r="N31" s="19" t="n">
        <f aca="false">Employee_Data!O31+ROW()/1000000</f>
        <v>4.600031</v>
      </c>
      <c r="O31" s="19" t="n">
        <v>31</v>
      </c>
    </row>
    <row r="32" customFormat="false" ht="15" hidden="false" customHeight="false" outlineLevel="0" collapsed="false">
      <c r="A32" s="13" t="n">
        <v>6</v>
      </c>
      <c r="B32" s="13" t="str">
        <f aca="false">INDEX(Employee_Data!$B$2:$B$101,MATCH(LARGE($N$2:$N$101,6),$N$2:$N$101,0))</f>
        <v>Lavanya</v>
      </c>
      <c r="C32" s="13" t="str">
        <f aca="false">INDEX(Employee_Data!$D$2:$D$101,MATCH(LARGE($N$2:$N$101,6),$N$2:$N$101,0))</f>
        <v>Finance</v>
      </c>
      <c r="D32" s="13" t="str">
        <f aca="false">INDEX(Employee_Data!$E$2:$E$101,MATCH(LARGE($N$2:$N$101,6),$N$2:$N$101,0))</f>
        <v>Team Lead</v>
      </c>
      <c r="E32" s="14" t="n">
        <f aca="false">INDEX(Employee_Data!$O$2:$O$101,MATCH(LARGE($N$2:$N$101,6),$N$2:$N$101,0))</f>
        <v>4.9</v>
      </c>
      <c r="F32" s="15" t="n">
        <f aca="false">INDEX(Employee_Data!$N$2:$N$101,MATCH(LARGE($N$2:$N$101,6),$N$2:$N$101,0))</f>
        <v>915692</v>
      </c>
      <c r="N32" s="19" t="n">
        <f aca="false">Employee_Data!O32+ROW()/1000000</f>
        <v>4.400032</v>
      </c>
      <c r="O32" s="19" t="n">
        <v>32</v>
      </c>
    </row>
    <row r="33" customFormat="false" ht="15" hidden="false" customHeight="false" outlineLevel="0" collapsed="false">
      <c r="A33" s="10" t="n">
        <v>7</v>
      </c>
      <c r="B33" s="10" t="str">
        <f aca="false">INDEX(Employee_Data!$B$2:$B$101,MATCH(LARGE($N$2:$N$101,7),$N$2:$N$101,0))</f>
        <v>Divya</v>
      </c>
      <c r="C33" s="10" t="str">
        <f aca="false">INDEX(Employee_Data!$D$2:$D$101,MATCH(LARGE($N$2:$N$101,7),$N$2:$N$101,0))</f>
        <v>Marketing</v>
      </c>
      <c r="D33" s="10" t="str">
        <f aca="false">INDEX(Employee_Data!$E$2:$E$101,MATCH(LARGE($N$2:$N$101,7),$N$2:$N$101,0))</f>
        <v>Team Lead</v>
      </c>
      <c r="E33" s="11" t="n">
        <f aca="false">INDEX(Employee_Data!$O$2:$O$101,MATCH(LARGE($N$2:$N$101,7),$N$2:$N$101,0))</f>
        <v>4.9</v>
      </c>
      <c r="F33" s="12" t="n">
        <f aca="false">INDEX(Employee_Data!$N$2:$N$101,MATCH(LARGE($N$2:$N$101,7),$N$2:$N$101,0))</f>
        <v>451908</v>
      </c>
      <c r="N33" s="19" t="n">
        <f aca="false">Employee_Data!O33+ROW()/1000000</f>
        <v>4.400033</v>
      </c>
      <c r="O33" s="19" t="n">
        <v>33</v>
      </c>
    </row>
    <row r="34" customFormat="false" ht="15" hidden="false" customHeight="false" outlineLevel="0" collapsed="false">
      <c r="A34" s="13" t="n">
        <v>8</v>
      </c>
      <c r="B34" s="13" t="str">
        <f aca="false">INDEX(Employee_Data!$B$2:$B$101,MATCH(LARGE($N$2:$N$101,8),$N$2:$N$101,0))</f>
        <v>Keerthi</v>
      </c>
      <c r="C34" s="13" t="str">
        <f aca="false">INDEX(Employee_Data!$D$2:$D$101,MATCH(LARGE($N$2:$N$101,8),$N$2:$N$101,0))</f>
        <v>Finance</v>
      </c>
      <c r="D34" s="13" t="str">
        <f aca="false">INDEX(Employee_Data!$E$2:$E$101,MATCH(LARGE($N$2:$N$101,8),$N$2:$N$101,0))</f>
        <v>Team Lead</v>
      </c>
      <c r="E34" s="14" t="n">
        <f aca="false">INDEX(Employee_Data!$O$2:$O$101,MATCH(LARGE($N$2:$N$101,8),$N$2:$N$101,0))</f>
        <v>4.9</v>
      </c>
      <c r="F34" s="15" t="n">
        <f aca="false">INDEX(Employee_Data!$N$2:$N$101,MATCH(LARGE($N$2:$N$101,8),$N$2:$N$101,0))</f>
        <v>570218</v>
      </c>
      <c r="N34" s="19" t="n">
        <f aca="false">Employee_Data!O34+ROW()/1000000</f>
        <v>4.600034</v>
      </c>
      <c r="O34" s="19" t="n">
        <v>34</v>
      </c>
    </row>
    <row r="35" customFormat="false" ht="15" hidden="false" customHeight="false" outlineLevel="0" collapsed="false">
      <c r="A35" s="10" t="n">
        <v>9</v>
      </c>
      <c r="B35" s="10" t="str">
        <f aca="false">INDEX(Employee_Data!$B$2:$B$101,MATCH(LARGE($N$2:$N$101,9),$N$2:$N$101,0))</f>
        <v>Sanjay</v>
      </c>
      <c r="C35" s="10" t="str">
        <f aca="false">INDEX(Employee_Data!$D$2:$D$101,MATCH(LARGE($N$2:$N$101,9),$N$2:$N$101,0))</f>
        <v>Sales</v>
      </c>
      <c r="D35" s="10" t="str">
        <f aca="false">INDEX(Employee_Data!$E$2:$E$101,MATCH(LARGE($N$2:$N$101,9),$N$2:$N$101,0))</f>
        <v>Analyst</v>
      </c>
      <c r="E35" s="11" t="n">
        <f aca="false">INDEX(Employee_Data!$O$2:$O$101,MATCH(LARGE($N$2:$N$101,9),$N$2:$N$101,0))</f>
        <v>4.9</v>
      </c>
      <c r="F35" s="12" t="n">
        <f aca="false">INDEX(Employee_Data!$N$2:$N$101,MATCH(LARGE($N$2:$N$101,9),$N$2:$N$101,0))</f>
        <v>956240</v>
      </c>
      <c r="N35" s="19" t="n">
        <f aca="false">Employee_Data!O35+ROW()/1000000</f>
        <v>3.200035</v>
      </c>
      <c r="O35" s="19" t="n">
        <v>35</v>
      </c>
    </row>
    <row r="36" customFormat="false" ht="15" hidden="false" customHeight="false" outlineLevel="0" collapsed="false">
      <c r="A36" s="13" t="n">
        <v>10</v>
      </c>
      <c r="B36" s="13" t="str">
        <f aca="false">INDEX(Employee_Data!$B$2:$B$101,MATCH(LARGE($N$2:$N$101,10),$N$2:$N$101,0))</f>
        <v>Anu</v>
      </c>
      <c r="C36" s="13" t="str">
        <f aca="false">INDEX(Employee_Data!$D$2:$D$101,MATCH(LARGE($N$2:$N$101,10),$N$2:$N$101,0))</f>
        <v>HR</v>
      </c>
      <c r="D36" s="13" t="str">
        <f aca="false">INDEX(Employee_Data!$E$2:$E$101,MATCH(LARGE($N$2:$N$101,10),$N$2:$N$101,0))</f>
        <v>Analyst</v>
      </c>
      <c r="E36" s="14" t="n">
        <f aca="false">INDEX(Employee_Data!$O$2:$O$101,MATCH(LARGE($N$2:$N$101,10),$N$2:$N$101,0))</f>
        <v>4.9</v>
      </c>
      <c r="F36" s="15" t="n">
        <f aca="false">INDEX(Employee_Data!$N$2:$N$101,MATCH(LARGE($N$2:$N$101,10),$N$2:$N$101,0))</f>
        <v>629883</v>
      </c>
      <c r="N36" s="19" t="n">
        <f aca="false">Employee_Data!O36+ROW()/1000000</f>
        <v>4.500036</v>
      </c>
      <c r="O36" s="19" t="n">
        <v>36</v>
      </c>
    </row>
    <row r="37" customFormat="false" ht="15" hidden="false" customHeight="false" outlineLevel="0" collapsed="false">
      <c r="N37" s="19" t="n">
        <f aca="false">Employee_Data!O37+ROW()/1000000</f>
        <v>3.500037</v>
      </c>
      <c r="O37" s="19" t="n">
        <v>37</v>
      </c>
    </row>
    <row r="38" customFormat="false" ht="15" hidden="false" customHeight="false" outlineLevel="0" collapsed="false">
      <c r="N38" s="19" t="n">
        <f aca="false">Employee_Data!O38+ROW()/1000000</f>
        <v>4.700038</v>
      </c>
      <c r="O38" s="19" t="n">
        <v>38</v>
      </c>
    </row>
    <row r="39" customFormat="false" ht="15" hidden="false" customHeight="false" outlineLevel="0" collapsed="false">
      <c r="N39" s="19" t="n">
        <f aca="false">Employee_Data!O39+ROW()/1000000</f>
        <v>3.400039</v>
      </c>
      <c r="O39" s="19" t="n">
        <v>39</v>
      </c>
    </row>
    <row r="40" customFormat="false" ht="15" hidden="false" customHeight="false" outlineLevel="0" collapsed="false">
      <c r="N40" s="19" t="n">
        <f aca="false">Employee_Data!O40+ROW()/1000000</f>
        <v>4.80004</v>
      </c>
      <c r="O40" s="19" t="n">
        <v>40</v>
      </c>
    </row>
    <row r="41" customFormat="false" ht="15" hidden="false" customHeight="false" outlineLevel="0" collapsed="false">
      <c r="N41" s="19" t="n">
        <f aca="false">Employee_Data!O41+ROW()/1000000</f>
        <v>5.000041</v>
      </c>
      <c r="O41" s="19" t="n">
        <v>41</v>
      </c>
    </row>
    <row r="42" customFormat="false" ht="15" hidden="false" customHeight="false" outlineLevel="0" collapsed="false">
      <c r="N42" s="19" t="n">
        <f aca="false">Employee_Data!O42+ROW()/1000000</f>
        <v>5.000042</v>
      </c>
      <c r="O42" s="19" t="n">
        <v>42</v>
      </c>
    </row>
    <row r="43" customFormat="false" ht="15" hidden="false" customHeight="false" outlineLevel="0" collapsed="false">
      <c r="N43" s="19" t="n">
        <f aca="false">Employee_Data!O43+ROW()/1000000</f>
        <v>3.200043</v>
      </c>
      <c r="O43" s="19" t="n">
        <v>43</v>
      </c>
    </row>
    <row r="44" customFormat="false" ht="15" hidden="false" customHeight="false" outlineLevel="0" collapsed="false">
      <c r="N44" s="19" t="n">
        <f aca="false">Employee_Data!O44+ROW()/1000000</f>
        <v>4.400044</v>
      </c>
      <c r="O44" s="19" t="n">
        <v>44</v>
      </c>
    </row>
    <row r="45" customFormat="false" ht="15" hidden="false" customHeight="false" outlineLevel="0" collapsed="false">
      <c r="N45" s="19" t="n">
        <f aca="false">Employee_Data!O45+ROW()/1000000</f>
        <v>3.100045</v>
      </c>
      <c r="O45" s="19" t="n">
        <v>45</v>
      </c>
    </row>
    <row r="46" customFormat="false" ht="15" hidden="false" customHeight="false" outlineLevel="0" collapsed="false">
      <c r="N46" s="19" t="n">
        <f aca="false">Employee_Data!O46+ROW()/1000000</f>
        <v>4.400046</v>
      </c>
      <c r="O46" s="19" t="n">
        <v>46</v>
      </c>
    </row>
    <row r="47" customFormat="false" ht="15" hidden="false" customHeight="false" outlineLevel="0" collapsed="false">
      <c r="N47" s="19" t="n">
        <f aca="false">Employee_Data!O47+ROW()/1000000</f>
        <v>4.500047</v>
      </c>
      <c r="O47" s="19" t="n">
        <v>47</v>
      </c>
    </row>
    <row r="48" customFormat="false" ht="15" hidden="false" customHeight="false" outlineLevel="0" collapsed="false">
      <c r="N48" s="19" t="n">
        <f aca="false">Employee_Data!O48+ROW()/1000000</f>
        <v>3.600048</v>
      </c>
      <c r="O48" s="19" t="n">
        <v>48</v>
      </c>
    </row>
    <row r="49" customFormat="false" ht="15" hidden="false" customHeight="false" outlineLevel="0" collapsed="false">
      <c r="N49" s="19" t="n">
        <f aca="false">Employee_Data!O49+ROW()/1000000</f>
        <v>4.700049</v>
      </c>
      <c r="O49" s="19" t="n">
        <v>49</v>
      </c>
    </row>
    <row r="50" customFormat="false" ht="15" hidden="false" customHeight="false" outlineLevel="0" collapsed="false">
      <c r="N50" s="19" t="n">
        <f aca="false">Employee_Data!O50+ROW()/1000000</f>
        <v>4.70005</v>
      </c>
      <c r="O50" s="19" t="n">
        <v>50</v>
      </c>
    </row>
    <row r="51" customFormat="false" ht="15" hidden="false" customHeight="false" outlineLevel="0" collapsed="false">
      <c r="N51" s="19" t="n">
        <f aca="false">Employee_Data!O51+ROW()/1000000</f>
        <v>4.500051</v>
      </c>
      <c r="O51" s="19" t="n">
        <v>51</v>
      </c>
    </row>
    <row r="52" customFormat="false" ht="15" hidden="false" customHeight="false" outlineLevel="0" collapsed="false">
      <c r="N52" s="19" t="n">
        <f aca="false">Employee_Data!O52+ROW()/1000000</f>
        <v>4.500052</v>
      </c>
      <c r="O52" s="19" t="n">
        <v>52</v>
      </c>
    </row>
    <row r="53" customFormat="false" ht="15" hidden="false" customHeight="false" outlineLevel="0" collapsed="false">
      <c r="N53" s="19" t="n">
        <f aca="false">Employee_Data!O53+ROW()/1000000</f>
        <v>3.400053</v>
      </c>
      <c r="O53" s="19" t="n">
        <v>53</v>
      </c>
    </row>
    <row r="54" customFormat="false" ht="15" hidden="false" customHeight="false" outlineLevel="0" collapsed="false">
      <c r="N54" s="19" t="n">
        <f aca="false">Employee_Data!O54+ROW()/1000000</f>
        <v>4.400054</v>
      </c>
      <c r="O54" s="19" t="n">
        <v>54</v>
      </c>
    </row>
    <row r="55" customFormat="false" ht="15" hidden="false" customHeight="false" outlineLevel="0" collapsed="false">
      <c r="N55" s="19" t="n">
        <f aca="false">Employee_Data!O55+ROW()/1000000</f>
        <v>5.000055</v>
      </c>
      <c r="O55" s="19" t="n">
        <v>55</v>
      </c>
    </row>
    <row r="56" customFormat="false" ht="15" hidden="false" customHeight="false" outlineLevel="0" collapsed="false">
      <c r="N56" s="19" t="n">
        <f aca="false">Employee_Data!O56+ROW()/1000000</f>
        <v>5.000056</v>
      </c>
      <c r="O56" s="19" t="n">
        <v>56</v>
      </c>
    </row>
    <row r="57" customFormat="false" ht="15" hidden="false" customHeight="false" outlineLevel="0" collapsed="false">
      <c r="N57" s="19" t="n">
        <f aca="false">Employee_Data!O57+ROW()/1000000</f>
        <v>4.900057</v>
      </c>
      <c r="O57" s="19" t="n">
        <v>57</v>
      </c>
    </row>
    <row r="58" customFormat="false" ht="15" hidden="false" customHeight="false" outlineLevel="0" collapsed="false">
      <c r="N58" s="19" t="n">
        <f aca="false">Employee_Data!O58+ROW()/1000000</f>
        <v>4.800058</v>
      </c>
      <c r="O58" s="19" t="n">
        <v>58</v>
      </c>
    </row>
    <row r="59" customFormat="false" ht="15" hidden="false" customHeight="false" outlineLevel="0" collapsed="false">
      <c r="N59" s="19" t="n">
        <f aca="false">Employee_Data!O59+ROW()/1000000</f>
        <v>4.200059</v>
      </c>
      <c r="O59" s="19" t="n">
        <v>59</v>
      </c>
    </row>
    <row r="60" customFormat="false" ht="15" hidden="false" customHeight="false" outlineLevel="0" collapsed="false">
      <c r="N60" s="19" t="n">
        <f aca="false">Employee_Data!O60+ROW()/1000000</f>
        <v>3.40006</v>
      </c>
      <c r="O60" s="19" t="n">
        <v>60</v>
      </c>
    </row>
    <row r="61" customFormat="false" ht="15" hidden="false" customHeight="false" outlineLevel="0" collapsed="false">
      <c r="N61" s="19" t="n">
        <f aca="false">Employee_Data!O61+ROW()/1000000</f>
        <v>3.100061</v>
      </c>
      <c r="O61" s="19" t="n">
        <v>61</v>
      </c>
    </row>
    <row r="62" customFormat="false" ht="15" hidden="false" customHeight="false" outlineLevel="0" collapsed="false">
      <c r="N62" s="19" t="n">
        <f aca="false">Employee_Data!O62+ROW()/1000000</f>
        <v>4.500062</v>
      </c>
      <c r="O62" s="19" t="n">
        <v>62</v>
      </c>
    </row>
    <row r="63" customFormat="false" ht="15" hidden="false" customHeight="false" outlineLevel="0" collapsed="false">
      <c r="N63" s="19" t="n">
        <f aca="false">Employee_Data!O63+ROW()/1000000</f>
        <v>4.500063</v>
      </c>
      <c r="O63" s="19" t="n">
        <v>63</v>
      </c>
    </row>
    <row r="64" customFormat="false" ht="15" hidden="false" customHeight="false" outlineLevel="0" collapsed="false">
      <c r="N64" s="19" t="n">
        <f aca="false">Employee_Data!O64+ROW()/1000000</f>
        <v>4.200064</v>
      </c>
      <c r="O64" s="19" t="n">
        <v>64</v>
      </c>
    </row>
    <row r="65" customFormat="false" ht="15" hidden="false" customHeight="false" outlineLevel="0" collapsed="false">
      <c r="N65" s="19" t="n">
        <f aca="false">Employee_Data!O65+ROW()/1000000</f>
        <v>4.400065</v>
      </c>
      <c r="O65" s="19" t="n">
        <v>65</v>
      </c>
    </row>
    <row r="66" customFormat="false" ht="15" hidden="false" customHeight="false" outlineLevel="0" collapsed="false">
      <c r="N66" s="19" t="n">
        <f aca="false">Employee_Data!O66+ROW()/1000000</f>
        <v>4.900066</v>
      </c>
      <c r="O66" s="19" t="n">
        <v>66</v>
      </c>
    </row>
    <row r="67" customFormat="false" ht="15" hidden="false" customHeight="false" outlineLevel="0" collapsed="false">
      <c r="N67" s="19" t="n">
        <f aca="false">Employee_Data!O67+ROW()/1000000</f>
        <v>4.900067</v>
      </c>
      <c r="O67" s="19" t="n">
        <v>67</v>
      </c>
    </row>
    <row r="68" customFormat="false" ht="15" hidden="false" customHeight="false" outlineLevel="0" collapsed="false">
      <c r="N68" s="19" t="n">
        <f aca="false">Employee_Data!O68+ROW()/1000000</f>
        <v>3.500068</v>
      </c>
      <c r="O68" s="19" t="n">
        <v>68</v>
      </c>
    </row>
    <row r="69" customFormat="false" ht="15" hidden="false" customHeight="false" outlineLevel="0" collapsed="false">
      <c r="N69" s="19" t="n">
        <f aca="false">Employee_Data!O69+ROW()/1000000</f>
        <v>4.800069</v>
      </c>
      <c r="O69" s="19" t="n">
        <v>69</v>
      </c>
    </row>
    <row r="70" customFormat="false" ht="15" hidden="false" customHeight="false" outlineLevel="0" collapsed="false">
      <c r="N70" s="19" t="n">
        <f aca="false">Employee_Data!O70+ROW()/1000000</f>
        <v>4.30007</v>
      </c>
      <c r="O70" s="19" t="n">
        <v>70</v>
      </c>
    </row>
    <row r="71" customFormat="false" ht="15" hidden="false" customHeight="false" outlineLevel="0" collapsed="false">
      <c r="N71" s="19" t="n">
        <f aca="false">Employee_Data!O71+ROW()/1000000</f>
        <v>4.100071</v>
      </c>
      <c r="O71" s="19" t="n">
        <v>71</v>
      </c>
    </row>
    <row r="72" customFormat="false" ht="15" hidden="false" customHeight="false" outlineLevel="0" collapsed="false">
      <c r="N72" s="19" t="n">
        <f aca="false">Employee_Data!O72+ROW()/1000000</f>
        <v>3.700072</v>
      </c>
      <c r="O72" s="19" t="n">
        <v>72</v>
      </c>
    </row>
    <row r="73" customFormat="false" ht="15" hidden="false" customHeight="false" outlineLevel="0" collapsed="false">
      <c r="N73" s="19" t="n">
        <f aca="false">Employee_Data!O73+ROW()/1000000</f>
        <v>4.300073</v>
      </c>
      <c r="O73" s="19" t="n">
        <v>73</v>
      </c>
    </row>
    <row r="74" customFormat="false" ht="15" hidden="false" customHeight="false" outlineLevel="0" collapsed="false">
      <c r="N74" s="19" t="n">
        <f aca="false">Employee_Data!O74+ROW()/1000000</f>
        <v>4.200074</v>
      </c>
      <c r="O74" s="19" t="n">
        <v>74</v>
      </c>
    </row>
    <row r="75" customFormat="false" ht="15" hidden="false" customHeight="false" outlineLevel="0" collapsed="false">
      <c r="N75" s="19" t="n">
        <f aca="false">Employee_Data!O75+ROW()/1000000</f>
        <v>3.700075</v>
      </c>
      <c r="O75" s="19" t="n">
        <v>75</v>
      </c>
    </row>
    <row r="76" customFormat="false" ht="15" hidden="false" customHeight="false" outlineLevel="0" collapsed="false">
      <c r="N76" s="19" t="n">
        <f aca="false">Employee_Data!O76+ROW()/1000000</f>
        <v>4.300076</v>
      </c>
      <c r="O76" s="19" t="n">
        <v>76</v>
      </c>
    </row>
    <row r="77" customFormat="false" ht="15" hidden="false" customHeight="false" outlineLevel="0" collapsed="false">
      <c r="N77" s="19" t="n">
        <f aca="false">Employee_Data!O77+ROW()/1000000</f>
        <v>4.600077</v>
      </c>
      <c r="O77" s="19" t="n">
        <v>77</v>
      </c>
    </row>
    <row r="78" customFormat="false" ht="15" hidden="false" customHeight="false" outlineLevel="0" collapsed="false">
      <c r="N78" s="19" t="n">
        <f aca="false">Employee_Data!O78+ROW()/1000000</f>
        <v>4.900078</v>
      </c>
      <c r="O78" s="19" t="n">
        <v>78</v>
      </c>
    </row>
    <row r="79" customFormat="false" ht="15" hidden="false" customHeight="false" outlineLevel="0" collapsed="false">
      <c r="N79" s="19" t="n">
        <f aca="false">Employee_Data!O79+ROW()/1000000</f>
        <v>4.900079</v>
      </c>
      <c r="O79" s="19" t="n">
        <v>79</v>
      </c>
    </row>
    <row r="80" customFormat="false" ht="15" hidden="false" customHeight="false" outlineLevel="0" collapsed="false">
      <c r="N80" s="19" t="n">
        <f aca="false">Employee_Data!O80+ROW()/1000000</f>
        <v>4.30008</v>
      </c>
      <c r="O80" s="19" t="n">
        <v>80</v>
      </c>
    </row>
    <row r="81" customFormat="false" ht="15" hidden="false" customHeight="false" outlineLevel="0" collapsed="false">
      <c r="N81" s="19" t="n">
        <f aca="false">Employee_Data!O81+ROW()/1000000</f>
        <v>4.300081</v>
      </c>
      <c r="O81" s="19" t="n">
        <v>81</v>
      </c>
    </row>
    <row r="82" customFormat="false" ht="15" hidden="false" customHeight="false" outlineLevel="0" collapsed="false">
      <c r="N82" s="19" t="n">
        <f aca="false">Employee_Data!O82+ROW()/1000000</f>
        <v>3.100082</v>
      </c>
      <c r="O82" s="19" t="n">
        <v>82</v>
      </c>
    </row>
    <row r="83" customFormat="false" ht="15" hidden="false" customHeight="false" outlineLevel="0" collapsed="false">
      <c r="N83" s="19" t="n">
        <f aca="false">Employee_Data!O83+ROW()/1000000</f>
        <v>3.900083</v>
      </c>
      <c r="O83" s="19" t="n">
        <v>83</v>
      </c>
    </row>
    <row r="84" customFormat="false" ht="15" hidden="false" customHeight="false" outlineLevel="0" collapsed="false">
      <c r="N84" s="19" t="n">
        <f aca="false">Employee_Data!O84+ROW()/1000000</f>
        <v>4.200084</v>
      </c>
      <c r="O84" s="19" t="n">
        <v>84</v>
      </c>
    </row>
    <row r="85" customFormat="false" ht="15" hidden="false" customHeight="false" outlineLevel="0" collapsed="false">
      <c r="N85" s="19" t="n">
        <f aca="false">Employee_Data!O85+ROW()/1000000</f>
        <v>3.800085</v>
      </c>
      <c r="O85" s="19" t="n">
        <v>85</v>
      </c>
    </row>
    <row r="86" customFormat="false" ht="15" hidden="false" customHeight="false" outlineLevel="0" collapsed="false">
      <c r="N86" s="19" t="n">
        <f aca="false">Employee_Data!O86+ROW()/1000000</f>
        <v>3.700086</v>
      </c>
      <c r="O86" s="19" t="n">
        <v>86</v>
      </c>
    </row>
    <row r="87" customFormat="false" ht="15" hidden="false" customHeight="false" outlineLevel="0" collapsed="false">
      <c r="N87" s="19" t="n">
        <f aca="false">Employee_Data!O87+ROW()/1000000</f>
        <v>3.600087</v>
      </c>
      <c r="O87" s="19" t="n">
        <v>87</v>
      </c>
    </row>
    <row r="88" customFormat="false" ht="15" hidden="false" customHeight="false" outlineLevel="0" collapsed="false">
      <c r="N88" s="19" t="n">
        <f aca="false">Employee_Data!O88+ROW()/1000000</f>
        <v>3.100088</v>
      </c>
      <c r="O88" s="19" t="n">
        <v>88</v>
      </c>
    </row>
    <row r="89" customFormat="false" ht="15" hidden="false" customHeight="false" outlineLevel="0" collapsed="false">
      <c r="N89" s="19" t="n">
        <f aca="false">Employee_Data!O89+ROW()/1000000</f>
        <v>3.200089</v>
      </c>
      <c r="O89" s="19" t="n">
        <v>89</v>
      </c>
    </row>
    <row r="90" customFormat="false" ht="15" hidden="false" customHeight="false" outlineLevel="0" collapsed="false">
      <c r="N90" s="19" t="n">
        <f aca="false">Employee_Data!O90+ROW()/1000000</f>
        <v>4.10009</v>
      </c>
      <c r="O90" s="19" t="n">
        <v>90</v>
      </c>
    </row>
    <row r="91" customFormat="false" ht="15" hidden="false" customHeight="false" outlineLevel="0" collapsed="false">
      <c r="N91" s="19" t="n">
        <f aca="false">Employee_Data!O91+ROW()/1000000</f>
        <v>3.500091</v>
      </c>
      <c r="O91" s="19" t="n">
        <v>91</v>
      </c>
    </row>
    <row r="92" customFormat="false" ht="15" hidden="false" customHeight="false" outlineLevel="0" collapsed="false">
      <c r="N92" s="19" t="n">
        <f aca="false">Employee_Data!O92+ROW()/1000000</f>
        <v>3.800092</v>
      </c>
      <c r="O92" s="19" t="n">
        <v>92</v>
      </c>
    </row>
    <row r="93" customFormat="false" ht="15" hidden="false" customHeight="false" outlineLevel="0" collapsed="false">
      <c r="N93" s="19" t="n">
        <f aca="false">Employee_Data!O93+ROW()/1000000</f>
        <v>4.800093</v>
      </c>
      <c r="O93" s="19" t="n">
        <v>93</v>
      </c>
    </row>
    <row r="94" customFormat="false" ht="15" hidden="false" customHeight="false" outlineLevel="0" collapsed="false">
      <c r="N94" s="19" t="n">
        <f aca="false">Employee_Data!O94+ROW()/1000000</f>
        <v>3.200094</v>
      </c>
      <c r="O94" s="19" t="n">
        <v>94</v>
      </c>
    </row>
    <row r="95" customFormat="false" ht="15" hidden="false" customHeight="false" outlineLevel="0" collapsed="false">
      <c r="N95" s="19" t="n">
        <f aca="false">Employee_Data!O95+ROW()/1000000</f>
        <v>4.000095</v>
      </c>
      <c r="O95" s="19" t="n">
        <v>95</v>
      </c>
    </row>
    <row r="96" customFormat="false" ht="15" hidden="false" customHeight="false" outlineLevel="0" collapsed="false">
      <c r="N96" s="19" t="n">
        <f aca="false">Employee_Data!O96+ROW()/1000000</f>
        <v>4.000096</v>
      </c>
      <c r="O96" s="19" t="n">
        <v>96</v>
      </c>
    </row>
    <row r="97" customFormat="false" ht="15" hidden="false" customHeight="false" outlineLevel="0" collapsed="false">
      <c r="N97" s="19" t="n">
        <f aca="false">Employee_Data!O97+ROW()/1000000</f>
        <v>3.600097</v>
      </c>
      <c r="O97" s="19" t="n">
        <v>97</v>
      </c>
    </row>
    <row r="98" customFormat="false" ht="15" hidden="false" customHeight="false" outlineLevel="0" collapsed="false">
      <c r="N98" s="19" t="n">
        <f aca="false">Employee_Data!O98+ROW()/1000000</f>
        <v>3.500098</v>
      </c>
      <c r="O98" s="19" t="n">
        <v>98</v>
      </c>
    </row>
    <row r="99" customFormat="false" ht="15" hidden="false" customHeight="false" outlineLevel="0" collapsed="false">
      <c r="N99" s="19" t="n">
        <f aca="false">Employee_Data!O99+ROW()/1000000</f>
        <v>3.800099</v>
      </c>
      <c r="O99" s="19" t="n">
        <v>99</v>
      </c>
    </row>
    <row r="100" customFormat="false" ht="15" hidden="false" customHeight="false" outlineLevel="0" collapsed="false">
      <c r="N100" s="19" t="n">
        <f aca="false">Employee_Data!O100+ROW()/1000000</f>
        <v>3.4001</v>
      </c>
      <c r="O100" s="19" t="n">
        <v>100</v>
      </c>
    </row>
    <row r="101" customFormat="false" ht="15" hidden="false" customHeight="false" outlineLevel="0" collapsed="false">
      <c r="N101" s="19" t="n">
        <f aca="false">Employee_Data!O101+ROW()/1000000</f>
        <v>4.100101</v>
      </c>
      <c r="O101" s="19" t="n">
        <v>101</v>
      </c>
    </row>
  </sheetData>
  <mergeCells count="5">
    <mergeCell ref="A1:K1"/>
    <mergeCell ref="A3:K3"/>
    <mergeCell ref="A12:K12"/>
    <mergeCell ref="A17:K17"/>
    <mergeCell ref="A25:F2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2026-07-11T04:25:33Z</dcterms:created>
  <dc:creator>openpyxl</dc:creator>
  <dc:description/>
  <dc:language>en-US</dc:language>
  <cp:lastModifiedBy/>
  <dcterms:modified xsi:type="dcterms:W3CDTF">2026-07-14T05:19:31Z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